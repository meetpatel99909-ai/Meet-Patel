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queryTables/queryTable1.xml" ContentType="application/vnd.openxmlformats-officedocument.spreadsheetml.queryTable+xml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tables/table2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meet\File Share\Meet's Data\Master files\"/>
    </mc:Choice>
  </mc:AlternateContent>
  <xr:revisionPtr revIDLastSave="0" documentId="13_ncr:1_{E80CD07F-45C1-4589-877E-680BAEAA68FA}" xr6:coauthVersionLast="47" xr6:coauthVersionMax="47" xr10:uidLastSave="{00000000-0000-0000-0000-000000000000}"/>
  <bookViews>
    <workbookView xWindow="-120" yWindow="-120" windowWidth="29040" windowHeight="15720" tabRatio="918" firstSheet="9" activeTab="23" xr2:uid="{00000000-000D-0000-FFFF-FFFF00000000}"/>
  </bookViews>
  <sheets>
    <sheet name="Formula" sheetId="1" r:id="rId1"/>
    <sheet name="Maximum Value" sheetId="2" r:id="rId2"/>
    <sheet name="Keyword" sheetId="3" r:id="rId3"/>
    <sheet name="Chart" sheetId="4" r:id="rId4"/>
    <sheet name="Hidden Row" sheetId="5" r:id="rId5"/>
    <sheet name="XML Import" sheetId="35" r:id="rId6"/>
    <sheet name="Hidden Column" sheetId="6" r:id="rId7"/>
    <sheet name="Hidden Sheet" sheetId="7" state="hidden" r:id="rId8"/>
    <sheet name="Very Hiddent Sheet" sheetId="8" state="veryHidden" r:id="rId9"/>
    <sheet name="Condition Formatting" sheetId="36" r:id="rId10"/>
    <sheet name="Name Range Item" sheetId="9" r:id="rId11"/>
    <sheet name="Access Queries" sheetId="10" r:id="rId12"/>
    <sheet name="SQL Queries" sheetId="11" r:id="rId13"/>
    <sheet name="From Web" sheetId="12" r:id="rId14"/>
    <sheet name="From Text" sheetId="13" r:id="rId15"/>
    <sheet name="Protect Sheet" sheetId="33" r:id="rId16"/>
    <sheet name="Invisible Cells" sheetId="14" r:id="rId17"/>
    <sheet name="External links" sheetId="15" r:id="rId18"/>
    <sheet name="VAlidated Cells" sheetId="16" r:id="rId19"/>
    <sheet name="Errors" sheetId="17" r:id="rId20"/>
    <sheet name="Test" sheetId="19" r:id="rId21"/>
    <sheet name="Pvot Table" sheetId="21" r:id="rId22"/>
    <sheet name="Date and Time Format" sheetId="34" r:id="rId23"/>
    <sheet name="PARAMETER_TABLE" sheetId="38" r:id="rId24"/>
    <sheet name="Sheet1" sheetId="37" r:id="rId25"/>
  </sheets>
  <externalReferences>
    <externalReference r:id="rId26"/>
    <externalReference r:id="rId27"/>
    <externalReference r:id="rId28"/>
    <externalReference r:id="rId29"/>
  </externalReferences>
  <definedNames>
    <definedName name="_2_Darshan" localSheetId="11" hidden="1">'Access Queries'!$A$1:$AJ$3</definedName>
    <definedName name="ExternalData_1" localSheetId="23" hidden="1">PARAMETER_TABLE!$A$1:$E$522</definedName>
    <definedName name="IP_Fidelity" localSheetId="14">'From Text'!$A$1:$B$13</definedName>
    <definedName name="NameRange1">'Name Range Item'!$A$7</definedName>
    <definedName name="SheetNameRange" localSheetId="10">'Name Range Item'!$A$4</definedName>
    <definedName name="Sql2008_XLRISK600REL_USER_MASTER" localSheetId="12" hidden="1">'SQL Queries'!$A$1:$V$44</definedName>
    <definedName name="TestAudit">Formula!$D$18:$D$24</definedName>
    <definedName name="TodayTaskDetail" localSheetId="13">'From Web'!$A$1:$J$25</definedName>
    <definedName name="XL_Dictator" localSheetId="5">'XML Import'!$A$1:$C$46</definedName>
  </definedNames>
  <calcPr calcId="191029"/>
  <pivotCaches>
    <pivotCache cacheId="0" r:id="rId3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2" i="1" l="1" a="1"/>
  <c r="H12" i="1" s="1"/>
  <c r="G11" i="1"/>
  <c r="H5" i="2"/>
  <c r="I7" i="3"/>
  <c r="E4" i="4"/>
  <c r="I12" i="5"/>
  <c r="A13" i="35"/>
  <c r="G10" i="6"/>
  <c r="K16" i="36"/>
  <c r="J10" i="9"/>
  <c r="J12" i="10"/>
  <c r="F50" i="11"/>
  <c r="D23" i="12"/>
  <c r="E20" i="13"/>
  <c r="L23" i="14"/>
  <c r="K22" i="1" l="1"/>
  <c r="K21" i="1"/>
  <c r="K15" i="1"/>
  <c r="J18" i="2" l="1"/>
  <c r="I18" i="2"/>
  <c r="H18" i="2"/>
  <c r="L4" i="1" l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K7" i="1"/>
  <c r="E6" i="3" l="1"/>
  <c r="B72" i="1" l="1"/>
  <c r="B76" i="1" l="1"/>
  <c r="D15" i="1"/>
  <c r="A1" i="15" l="1"/>
  <c r="C5" i="34"/>
  <c r="B5" i="34"/>
  <c r="C3" i="34"/>
  <c r="B3" i="34"/>
  <c r="C60" i="1"/>
  <c r="E63" i="33"/>
  <c r="B60" i="33" s="1"/>
  <c r="E58" i="33"/>
  <c r="C58" i="33"/>
  <c r="B48" i="33"/>
  <c r="B47" i="33"/>
  <c r="G36" i="33"/>
  <c r="B35" i="33"/>
  <c r="E32" i="33"/>
  <c r="E30" i="33"/>
  <c r="G26" i="33"/>
  <c r="I24" i="33"/>
  <c r="I23" i="33"/>
  <c r="D21" i="33"/>
  <c r="D17" i="33" s="1"/>
  <c r="D10" i="33"/>
  <c r="E3" i="33"/>
  <c r="D3" i="33"/>
  <c r="C3" i="33"/>
  <c r="B3" i="33"/>
  <c r="A3" i="33"/>
  <c r="E63" i="1"/>
  <c r="B60" i="1" s="1"/>
  <c r="E58" i="1"/>
  <c r="C58" i="1"/>
  <c r="B48" i="1"/>
  <c r="B47" i="1"/>
  <c r="G36" i="1"/>
  <c r="B35" i="1"/>
  <c r="E32" i="1"/>
  <c r="E30" i="1"/>
  <c r="D9" i="2"/>
  <c r="E21" i="19"/>
  <c r="A2" i="15"/>
  <c r="G26" i="1"/>
  <c r="I24" i="1"/>
  <c r="I23" i="1"/>
  <c r="D21" i="1"/>
  <c r="B37" i="1" s="1"/>
  <c r="E3" i="1"/>
  <c r="D10" i="1"/>
  <c r="D3" i="1"/>
  <c r="C3" i="1"/>
  <c r="F15" i="1" s="1"/>
  <c r="B8" i="17"/>
  <c r="B7" i="17"/>
  <c r="B5" i="17"/>
  <c r="B4" i="17"/>
  <c r="B3" i="17"/>
  <c r="B2" i="17"/>
  <c r="B3" i="1"/>
  <c r="A3" i="1"/>
  <c r="B37" i="33"/>
  <c r="B6" i="17"/>
  <c r="C8" i="1" l="1"/>
  <c r="D12" i="1" s="1"/>
  <c r="D14" i="1" s="1"/>
  <c r="C8" i="33" a="1"/>
  <c r="C8" i="33" s="1"/>
  <c r="D12" i="33" s="1"/>
  <c r="D14" i="33" s="1"/>
  <c r="D17" i="1"/>
  <c r="D25" i="1" s="1"/>
  <c r="B67" i="1"/>
  <c r="B74" i="1" s="1"/>
  <c r="B82" i="1" s="1"/>
  <c r="B80" i="1"/>
  <c r="B84" i="1" l="1"/>
  <c r="E46" i="33"/>
  <c r="B46" i="33"/>
  <c r="C46" i="33"/>
  <c r="E46" i="1"/>
  <c r="B46" i="1"/>
  <c r="C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darshan</author>
  </authors>
  <commentList>
    <comment ref="B34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</t>
        </r>
      </text>
    </comment>
    <comment ref="C34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122</t>
        </r>
      </text>
    </comment>
    <comment ref="D34" authorId="0" shapeId="0" xr:uid="{00000000-0006-0000-0000-000003000000}">
      <text/>
    </comment>
    <comment ref="E34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darshan</author>
  </authors>
  <commentList>
    <comment ref="B34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</t>
        </r>
      </text>
    </comment>
    <comment ref="C34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122</t>
        </r>
      </text>
    </comment>
    <comment ref="D34" authorId="0" shapeId="0" xr:uid="{00000000-0006-0000-0F00-000003000000}">
      <text/>
    </comment>
    <comment ref="E34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darshan:</t>
        </r>
        <r>
          <rPr>
            <sz val="8"/>
            <color indexed="81"/>
            <rFont val="Tahoma"/>
            <family val="2"/>
          </rPr>
          <t xml:space="preserve">
1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\\xlriskserver\Search After Access Date\2_Darshan.mdb" keepAlive="1" name="2_Darshan" type="5" refreshedVersion="4" background="1" saveData="1">
    <dbPr connection="Provider=Microsoft.ACE.OLEDB.12.0;User ID=Admin;Data Source=\\xlriskserver\Search After Access Date\2_Darshan.mdb;Mode=Share Deny Write;Extended Properties=&quot;&quot;;Jet OLEDB:System database=&quot;&quot;;Jet OLEDB:Registry Path=&quot;&quot;;Jet OLEDB:Engine Type=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Mailing List" commandType="3"/>
  </connection>
  <connection id="2" xr16:uid="{00000000-0015-0000-FFFF-FFFF01000000}" name="Connection" type="4" refreshedVersion="4" background="1" saveData="1">
    <webPr sourceData="1" parsePre="1" consecutive="1" xl2000="1" url="http://releaseserver/dpr/TodayTaskDetail.aspx"/>
  </connection>
  <connection id="3" xr16:uid="{00000000-0015-0000-FFFF-FFFF02000000}" name="IP Fidelity" type="6" refreshedVersion="4" background="1" saveData="1">
    <textPr codePage="437" sourceFile="\\darshan\DArshan\IP Fidelity.txt">
      <textFields count="2">
        <textField/>
        <textField/>
      </textFields>
    </textPr>
  </connection>
  <connection id="4" xr16:uid="{DBE4D1DE-A25C-430D-B6BC-A4906675448F}" keepAlive="1" name="Query - PARAMETER_TABLE" description="Connection to the 'PARAMETER_TABLE' query in the workbook." type="5" refreshedVersion="8" background="1" saveData="1">
    <dbPr connection="Provider=Microsoft.Mashup.OleDb.1;Data Source=$Workbook$;Location=PARAMETER_TABLE;Extended Properties=&quot;&quot;" command="SELECT * FROM [PARAMETER_TABLE]"/>
  </connection>
  <connection id="5" xr16:uid="{00000000-0015-0000-FFFF-FFFF03000000}" odcFile="C:\Users\darshan\Documents\My Data Sources\Sql2008 XLRISK600REL USER_MASTER.odc" keepAlive="1" name="Sql2008 XLRISK600REL USER_MASTER" type="5" refreshedVersion="4" background="1" saveData="1">
    <dbPr connection="Provider=SQLOLEDB.1;Persist Security Info=True;User ID=XLRisk;Initial Catalog=XLRISK600REL;Data Source=Sql2008;Use Procedure for Prepare=1;Auto Translate=True;Packet Size=4096;Workstation ID=DARSHAN;Use Encryption for Data=False;Tag with column collation when possible=False" command="&quot;XLRISK600REL&quot;.&quot;dbo&quot;.&quot;USER_MASTER&quot;" commandType="3"/>
  </connection>
  <connection id="6" xr16:uid="{00000000-0015-0000-FFFF-FFFF04000000}" name="XL-Dictator" type="4" refreshedVersion="4" background="1" saveData="1">
    <webPr xml="1" sourceData="1" parsePre="1" consecutive="1" xl2000="1" url="\\DARSHAN\Shared\darshan\XMLSamples\XL-Dictator.xml" htmlTables="1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<sst xmlns="http://schemas.openxmlformats.org/spreadsheetml/2006/main" count="2113" uniqueCount="1312">
  <si>
    <t>Rs in Billion</t>
  </si>
  <si>
    <t>Password</t>
  </si>
  <si>
    <t>abc@123</t>
  </si>
  <si>
    <t>Sn</t>
  </si>
  <si>
    <t xml:space="preserve">Name </t>
  </si>
  <si>
    <t>Mark</t>
  </si>
  <si>
    <t>A</t>
  </si>
  <si>
    <t>B</t>
  </si>
  <si>
    <t>C</t>
  </si>
  <si>
    <t>MailingListID</t>
  </si>
  <si>
    <t>Prefix</t>
  </si>
  <si>
    <t>FirstName</t>
  </si>
  <si>
    <t>MiddleName</t>
  </si>
  <si>
    <t>LastName</t>
  </si>
  <si>
    <t>Suffix</t>
  </si>
  <si>
    <t>Nickname</t>
  </si>
  <si>
    <t>Title</t>
  </si>
  <si>
    <t>OrganizationName</t>
  </si>
  <si>
    <t>Address</t>
  </si>
  <si>
    <t>City</t>
  </si>
  <si>
    <t>State</t>
  </si>
  <si>
    <t>Region</t>
  </si>
  <si>
    <t>PostalCode</t>
  </si>
  <si>
    <t>Country/Region</t>
  </si>
  <si>
    <t>HomePhone</t>
  </si>
  <si>
    <t>WorkPhone</t>
  </si>
  <si>
    <t>MobilePhone</t>
  </si>
  <si>
    <t>FaxNumber</t>
  </si>
  <si>
    <t>AlternativePhone</t>
  </si>
  <si>
    <t>EmailAddress</t>
  </si>
  <si>
    <t>CompuServeID</t>
  </si>
  <si>
    <t>Birthdate</t>
  </si>
  <si>
    <t>Nationality</t>
  </si>
  <si>
    <t>EmrgcyContactName</t>
  </si>
  <si>
    <t>EmrgcyContactPhone</t>
  </si>
  <si>
    <t>DateUpdated</t>
  </si>
  <si>
    <t>MembershipStatus</t>
  </si>
  <si>
    <t>DateJoined</t>
  </si>
  <si>
    <t>PledgeAmount</t>
  </si>
  <si>
    <t>PledgePaidDate</t>
  </si>
  <si>
    <t>DuesAmount</t>
  </si>
  <si>
    <t>DuesPaidDate</t>
  </si>
  <si>
    <t>Hobbies</t>
  </si>
  <si>
    <t>HealthIssues</t>
  </si>
  <si>
    <t>Notes</t>
  </si>
  <si>
    <t>USERID</t>
  </si>
  <si>
    <t>USERNAME</t>
  </si>
  <si>
    <t>USERPWD</t>
  </si>
  <si>
    <t>USERFULLNAME</t>
  </si>
  <si>
    <t>USEREMAILID</t>
  </si>
  <si>
    <t>LASTPWDAGINGDATE</t>
  </si>
  <si>
    <t>AGINGPERIOD</t>
  </si>
  <si>
    <t>ACCOUNTSTATUS</t>
  </si>
  <si>
    <t>DISABLEUPTODATE</t>
  </si>
  <si>
    <t>DISABLEREASON</t>
  </si>
  <si>
    <t>LASTLOGINTIME</t>
  </si>
  <si>
    <t>LASTLOGOUTTIME</t>
  </si>
  <si>
    <t>SESSIONNUMBER</t>
  </si>
  <si>
    <t>SESSIONTIME</t>
  </si>
  <si>
    <t>MAXFAILUREATTEMPT</t>
  </si>
  <si>
    <t>DISABLEPERIODFORFAILURE</t>
  </si>
  <si>
    <t>FAILURENOTIFICATIONTO</t>
  </si>
  <si>
    <t>FAILURECOUNTFORNOTIFICATION</t>
  </si>
  <si>
    <t>LASTNOTIFICATIONTIME</t>
  </si>
  <si>
    <t>USERTYPE</t>
  </si>
  <si>
    <t>DELETESTATUS</t>
  </si>
  <si>
    <t>DomainID</t>
  </si>
  <si>
    <t>Admin</t>
  </si>
  <si>
    <t>599551569105538588568588</t>
  </si>
  <si>
    <t>Administrator</t>
  </si>
  <si>
    <t>admin@csipl.com</t>
  </si>
  <si>
    <t>E</t>
  </si>
  <si>
    <t/>
  </si>
  <si>
    <t>N</t>
  </si>
  <si>
    <t>mrunal</t>
  </si>
  <si>
    <t>Mrunal Choksi</t>
  </si>
  <si>
    <t>mrunal@csipl.com</t>
  </si>
  <si>
    <t>R</t>
  </si>
  <si>
    <t>b'wiliam09</t>
  </si>
  <si>
    <t>b'wiliam</t>
  </si>
  <si>
    <t>b'wiliam@csipl.com</t>
  </si>
  <si>
    <t>margi</t>
  </si>
  <si>
    <t>Margi</t>
  </si>
  <si>
    <t>margi@csipl.com</t>
  </si>
  <si>
    <t>amit</t>
  </si>
  <si>
    <t>Amit Trivedi</t>
  </si>
  <si>
    <t>amit@csipl.com</t>
  </si>
  <si>
    <t>darshan</t>
  </si>
  <si>
    <t>Darshan Barodia</t>
  </si>
  <si>
    <t>darshan@csipl.com</t>
  </si>
  <si>
    <t>mohtasim</t>
  </si>
  <si>
    <t>rmawala Mohtasim</t>
  </si>
  <si>
    <t>mohtasim@csipl.com</t>
  </si>
  <si>
    <t>dhavalPanchanl</t>
  </si>
  <si>
    <t>dhaval panchal</t>
  </si>
  <si>
    <t>dhaval@csipl.com</t>
  </si>
  <si>
    <t>d.patel</t>
  </si>
  <si>
    <t>dpatel</t>
  </si>
  <si>
    <t>d.patel@csipl.com</t>
  </si>
  <si>
    <t>tjxtest</t>
  </si>
  <si>
    <t>lakshmi</t>
  </si>
  <si>
    <t>lakshmi tharani</t>
  </si>
  <si>
    <t>lakshmi@csipl.com</t>
  </si>
  <si>
    <t>nilesh</t>
  </si>
  <si>
    <t>nilesh panchal</t>
  </si>
  <si>
    <t>nilesh@csipl.com</t>
  </si>
  <si>
    <t>AJAY</t>
  </si>
  <si>
    <t>AJAY SINGH.</t>
  </si>
  <si>
    <t>AJAY@CSIPL.COM</t>
  </si>
  <si>
    <t>AJAYT</t>
  </si>
  <si>
    <t>AJAYT1@CSIPL.COM</t>
  </si>
  <si>
    <t>ANAND</t>
  </si>
  <si>
    <t>ANAND SHAH</t>
  </si>
  <si>
    <t>ANAND@CSIPL.COM</t>
  </si>
  <si>
    <t>CIM4</t>
  </si>
  <si>
    <t>CIM4@CSIPL.COM</t>
  </si>
  <si>
    <t>LILA</t>
  </si>
  <si>
    <t>LILA DANGI.</t>
  </si>
  <si>
    <t>LILA@CSIPL.COM</t>
  </si>
  <si>
    <t>PARTH</t>
  </si>
  <si>
    <t>PARTH TRIVEDI</t>
  </si>
  <si>
    <t>PARTH@CSIPL.COM</t>
  </si>
  <si>
    <t>D</t>
  </si>
  <si>
    <t>SUBHASH</t>
  </si>
  <si>
    <t>SUBHASH@CSIPL.COM</t>
  </si>
  <si>
    <t>VIRENDRA</t>
  </si>
  <si>
    <t>VIRENDRA YADAV</t>
  </si>
  <si>
    <t>VIRENDRA@CSIPL.COM</t>
  </si>
  <si>
    <t>KETAN</t>
  </si>
  <si>
    <t>KETAN@CSIPL.COM</t>
  </si>
  <si>
    <t>RUCHITA</t>
  </si>
  <si>
    <t>RUCHITA DELIWALA</t>
  </si>
  <si>
    <t>RUCHITA@CSIPL.COM</t>
  </si>
  <si>
    <t>ANKIT</t>
  </si>
  <si>
    <t>ANKIT@CSIPL.COM</t>
  </si>
  <si>
    <t>APATEL</t>
  </si>
  <si>
    <t>APATEL@CSIPL.COM</t>
  </si>
  <si>
    <t>IWAM_RELEASESERVER</t>
  </si>
  <si>
    <t>CIM3</t>
  </si>
  <si>
    <t>CIM3@CSIPL.COM</t>
  </si>
  <si>
    <t>ADAVE</t>
  </si>
  <si>
    <t>ANIL DAVE.</t>
  </si>
  <si>
    <t>ADAVE1@CSIPL.COM</t>
  </si>
  <si>
    <t>ADMIN123</t>
  </si>
  <si>
    <t>PTELAVIYA</t>
  </si>
  <si>
    <t>PRATIK TELAVIYA</t>
  </si>
  <si>
    <t>PTELAVIYA@CSIPL.COM</t>
  </si>
  <si>
    <t>JOHN</t>
  </si>
  <si>
    <t>JOHN SMITH</t>
  </si>
  <si>
    <t>JOHN@CSIPL.COM</t>
  </si>
  <si>
    <t>RÜHRSTÄRKEA</t>
  </si>
  <si>
    <t>!__#$%^ &amp;_()___</t>
  </si>
  <si>
    <t>!@\\\#$%^ &amp;*()_\\\+</t>
  </si>
  <si>
    <t>NBROWN</t>
  </si>
  <si>
    <t>NANCY BROWN</t>
  </si>
  <si>
    <t>NBROWN@CSIPL.COM</t>
  </si>
  <si>
    <t>__A</t>
  </si>
  <si>
    <t>\\A</t>
  </si>
  <si>
    <t>__B</t>
  </si>
  <si>
    <t>\\\\B</t>
  </si>
  <si>
    <t>DHARMESH</t>
  </si>
  <si>
    <t>DHARMESH@CSIPL.COM</t>
  </si>
  <si>
    <t>Test1</t>
  </si>
  <si>
    <t>572</t>
  </si>
  <si>
    <t>t1</t>
  </si>
  <si>
    <t>hardikj1@csipl.com</t>
  </si>
  <si>
    <t>122586</t>
  </si>
  <si>
    <t>test@csipl.com</t>
  </si>
  <si>
    <t>S1</t>
  </si>
  <si>
    <t>579</t>
  </si>
  <si>
    <t>S</t>
  </si>
  <si>
    <t>S@CSIPL.COM</t>
  </si>
  <si>
    <t>s2</t>
  </si>
  <si>
    <t>580567</t>
  </si>
  <si>
    <t>S2</t>
  </si>
  <si>
    <t>S2@CSIPL.COM</t>
  </si>
  <si>
    <t>TEST</t>
  </si>
  <si>
    <t>592</t>
  </si>
  <si>
    <t>TEST 1111</t>
  </si>
  <si>
    <t>TEST1@CSIPL.COM</t>
  </si>
  <si>
    <t>TEST22</t>
  </si>
  <si>
    <t>536</t>
  </si>
  <si>
    <t>TEST22222</t>
  </si>
  <si>
    <t>TEST2@CSIPL.COM</t>
  </si>
  <si>
    <t>hardikj</t>
  </si>
  <si>
    <t>Hardik D. Jariwala</t>
  </si>
  <si>
    <t>hardikj@csipl.com</t>
  </si>
  <si>
    <t xml:space="preserve">Darshan </t>
  </si>
  <si>
    <t>Today's Tasks</t>
  </si>
  <si>
    <t>My Reports</t>
  </si>
  <si>
    <t>Reports By Users</t>
  </si>
  <si>
    <t>All Reports</t>
  </si>
  <si>
    <t>User Management</t>
  </si>
  <si>
    <t>Settings</t>
  </si>
  <si>
    <t>Change Password</t>
  </si>
  <si>
    <t>Logout</t>
  </si>
  <si>
    <t>Help</t>
  </si>
  <si>
    <t>Tasks scheduled for Tuesday, November 26, 2013</t>
  </si>
  <si>
    <t>Â© Copyright 2005 CIMCON Software, Inc. All rights reserved.</t>
  </si>
  <si>
    <t xml:space="preserve">  &lt;add key="AT For NumberFormatChange" value="False"/&gt;</t>
  </si>
  <si>
    <t>Check IF yes then Verify False else Add</t>
  </si>
  <si>
    <t>&lt;add key="AT for VBA protected File" value="True"/&gt;</t>
  </si>
  <si>
    <t>&lt;add key="SkipMacroCompilationCheck" value="False"/&gt;</t>
  </si>
  <si>
    <t>&lt;!-- In Minutes--&gt;</t>
  </si>
  <si>
    <t xml:space="preserve">    &lt;add key="ExcelTimeOut" value="60" /&gt;</t>
  </si>
  <si>
    <t>Add</t>
  </si>
  <si>
    <t xml:space="preserve">    &lt;add key="Optional.VBAExportTimeOut" value="10" /&gt;</t>
  </si>
  <si>
    <t>Correct Link</t>
  </si>
  <si>
    <t>Bronken Link</t>
  </si>
  <si>
    <t>Department</t>
  </si>
  <si>
    <t>VB</t>
  </si>
  <si>
    <t>a</t>
  </si>
  <si>
    <t>Array Formula</t>
  </si>
  <si>
    <t>Formula Formatted As Text</t>
  </si>
  <si>
    <t>Formula with Constatnt</t>
  </si>
  <si>
    <t>Formula with Blank Cells</t>
  </si>
  <si>
    <t>Formula With Text Cells</t>
  </si>
  <si>
    <t>Formula with Hiddent Cells</t>
  </si>
  <si>
    <t>Internal links</t>
  </si>
  <si>
    <t xml:space="preserve"> </t>
  </si>
  <si>
    <t>Fore color and back color same</t>
  </si>
  <si>
    <t>using Format Cell</t>
  </si>
  <si>
    <t>TEXT</t>
  </si>
  <si>
    <t>NUMBER</t>
  </si>
  <si>
    <t>DATE</t>
  </si>
  <si>
    <t>BOOLEAN</t>
  </si>
  <si>
    <t>No of Users</t>
  </si>
  <si>
    <t>Used in Key Processes</t>
  </si>
  <si>
    <t>Yes</t>
  </si>
  <si>
    <t>No</t>
  </si>
  <si>
    <t>Difficulty to Replace</t>
  </si>
  <si>
    <t>India</t>
  </si>
  <si>
    <t>The USA</t>
  </si>
  <si>
    <t>DOB</t>
  </si>
  <si>
    <t>Grand Total</t>
  </si>
  <si>
    <t>Count of USERNAME</t>
  </si>
  <si>
    <t>Judgemental Opinion</t>
  </si>
  <si>
    <t>Currentcy Error in Formula</t>
  </si>
  <si>
    <t>Negatively Defined Formulas</t>
  </si>
  <si>
    <t>Merged Cells</t>
  </si>
  <si>
    <t>Comments</t>
  </si>
  <si>
    <t>Nested If Formulas</t>
  </si>
  <si>
    <t>Missing Arguments In Formula</t>
  </si>
  <si>
    <t>Formulas Referring To Named Range</t>
  </si>
  <si>
    <t>Unlocked Cells</t>
  </si>
  <si>
    <t>Overlaid Shapes Lookout</t>
  </si>
  <si>
    <t>Formulas with Circular References</t>
  </si>
  <si>
    <t>Cells with Possible Rounding Errors</t>
  </si>
  <si>
    <t>Formulas with Specific Functions</t>
  </si>
  <si>
    <t>Conditional Formatting</t>
  </si>
  <si>
    <t>Value Cells Surrounded by Formula Cells</t>
  </si>
  <si>
    <t>ssfd</t>
  </si>
  <si>
    <t>Formula with Date Cell Reference</t>
  </si>
  <si>
    <t>Multiple Formula</t>
  </si>
  <si>
    <t>dgsdfged</t>
  </si>
  <si>
    <t>List</t>
  </si>
  <si>
    <t>Between</t>
  </si>
  <si>
    <t>Any Value</t>
  </si>
  <si>
    <t>Text Lenth | Warning</t>
  </si>
  <si>
    <t>Custome | Warning</t>
  </si>
  <si>
    <t>whole number</t>
  </si>
  <si>
    <t>Time | Greater than</t>
  </si>
  <si>
    <t>Date | Not equal to</t>
  </si>
  <si>
    <t>12dfsgfdsg</t>
  </si>
  <si>
    <t>ff</t>
  </si>
  <si>
    <t>12/10/2014  15:00:00 AM</t>
  </si>
  <si>
    <t>ï»¿</t>
  </si>
  <si>
    <t>&lt;customUI xmlns="http://schemas.microsoft.com/office/2006/01/customui"&gt;</t>
  </si>
  <si>
    <t>&lt;!-- **************************************************************************--&gt;</t>
  </si>
  <si>
    <t>&lt;!-- ****Disable 'Exit Excel' and 'Excel Options' on the Office button menu****--&gt;</t>
  </si>
  <si>
    <t xml:space="preserve">  &lt;commands&gt;</t>
  </si>
  <si>
    <t xml:space="preserve">  </t>
  </si>
  <si>
    <t xml:space="preserve">&lt;!-- Disable Excel Options on the Office button menu--&gt; </t>
  </si>
  <si>
    <t xml:space="preserve">&lt;command idMso="ApplicationOptionsDialog" enabled="false"/&gt; </t>
  </si>
  <si>
    <t xml:space="preserve">&lt;!-- Disable Exit Excel on the Office button menu--&gt; </t>
  </si>
  <si>
    <t xml:space="preserve">&lt;command idMso="FileExit" enabled="false"/&gt; </t>
  </si>
  <si>
    <t xml:space="preserve">  &lt;/commands&gt;</t>
  </si>
  <si>
    <t>&lt;!-- *******************************************************************--&gt;</t>
  </si>
  <si>
    <t>&lt;!-- **********Set startFromScratch to true to hide the ribbon**********--&gt;</t>
  </si>
  <si>
    <t>&lt;!-- **********Hide New, Open and Save on the Office button menu********--&gt;</t>
  </si>
  <si>
    <t xml:space="preserve">  &lt;!-- Set startFromScratch to true to hide the ribbon--&gt; </t>
  </si>
  <si>
    <t xml:space="preserve">  &lt;ribbon startFromScratch="true"&gt;</t>
  </si>
  <si>
    <t>&lt;!-- startFromScratch="true" hides all of the ribbon tabs and it hides the QAT. --&gt;</t>
  </si>
  <si>
    <t>&lt;!-- It also hides most of the commands on the Office button menu, but for some --&gt;</t>
  </si>
  <si>
    <t>&lt;!-- reason, it does not hide the 'New', 'Open' and 'Save' commands.            --&gt;</t>
  </si>
  <si>
    <t>&lt;!-- So if you want to hide them you have to add this to your RibbonX file:     --&gt;</t>
  </si>
  <si>
    <t>&lt;officeMenu&gt;</t>
  </si>
  <si>
    <t>&lt;button idMso="FileNew" visible="false"/&gt;</t>
  </si>
  <si>
    <t>&lt;button idMso="FileOpen" visible="false"/&gt;</t>
  </si>
  <si>
    <t>&lt;button idMso="FileSave" visible="false" /&gt;</t>
  </si>
  <si>
    <t xml:space="preserve">        &lt;/officeMenu&gt;</t>
  </si>
  <si>
    <t xml:space="preserve">&lt;!-- You can add xml here to create your own custom tab on the ribbon--&gt; </t>
  </si>
  <si>
    <t xml:space="preserve">  &lt;/ribbon&gt;</t>
  </si>
  <si>
    <t>&lt;/customUI&gt;</t>
  </si>
  <si>
    <t>s</t>
  </si>
  <si>
    <t>PPF</t>
  </si>
  <si>
    <t>sdf</t>
  </si>
  <si>
    <t>e</t>
  </si>
  <si>
    <t>Median</t>
  </si>
  <si>
    <t>VLookUp</t>
  </si>
  <si>
    <t>HLOOKUP</t>
  </si>
  <si>
    <t>Indirect</t>
  </si>
  <si>
    <t>SUMIF</t>
  </si>
  <si>
    <t>Look</t>
  </si>
  <si>
    <t>Billlion</t>
  </si>
  <si>
    <t>SSN</t>
  </si>
  <si>
    <t>Credit Card</t>
  </si>
  <si>
    <t>Model</t>
  </si>
  <si>
    <t>Billion</t>
  </si>
  <si>
    <t>Million</t>
  </si>
  <si>
    <t>346572019914630</t>
  </si>
  <si>
    <t>36124863203358</t>
  </si>
  <si>
    <t>3.65046401766493E+27</t>
  </si>
  <si>
    <t>30218544173810</t>
  </si>
  <si>
    <t>377483098591939</t>
  </si>
  <si>
    <t>348201176705510</t>
  </si>
  <si>
    <t>379261048379516</t>
  </si>
  <si>
    <t>370829940155777</t>
  </si>
  <si>
    <t>347387787860124</t>
  </si>
  <si>
    <t>.</t>
  </si>
  <si>
    <t>)</t>
  </si>
  <si>
    <t>PARAMNAME</t>
  </si>
  <si>
    <t>PARAMDESC</t>
  </si>
  <si>
    <t>TEXTVALUE</t>
  </si>
  <si>
    <t>DATEVALUE</t>
  </si>
  <si>
    <t>NUMBERVALUE</t>
  </si>
  <si>
    <t>ABSOLUTE_CELL_REFERENCE</t>
  </si>
  <si>
    <t>Highlight for AT ABSOLUTE CELL REFERENCE</t>
  </si>
  <si>
    <t>FALSE</t>
  </si>
  <si>
    <t>ACCESS_PLUGIN</t>
  </si>
  <si>
    <t>1234</t>
  </si>
  <si>
    <t>ACCESSCOMPRESSION</t>
  </si>
  <si>
    <t>TRUE</t>
  </si>
  <si>
    <t>ACCURACYPERCENTAGE</t>
  </si>
  <si>
    <t>Accuracy Percentage for AICandidates</t>
  </si>
  <si>
    <t>70</t>
  </si>
  <si>
    <t>ACTIONABLELINKURL</t>
  </si>
  <si>
    <t>Actionable Link Url.</t>
  </si>
  <si>
    <t>https://win2k19app17.cipl.com/EUCinsight/ActionableLinkN.aspx</t>
  </si>
  <si>
    <t>ActionToShowInParentAT</t>
  </si>
  <si>
    <t>13,18,19,23,24,29,30,31,32,33,34,35,36,44,59,60,61,101,154,155,156,161,162,171,176</t>
  </si>
  <si>
    <t>AddAZUREADUSERINEUCInsight</t>
  </si>
  <si>
    <t>Its Enable application to used by AZURE AD user</t>
  </si>
  <si>
    <t>AddEUCInsightUser</t>
  </si>
  <si>
    <t>Y</t>
  </si>
  <si>
    <t>ADDFIELDFROMDICOVERYTOCHANGEMANAGEMENT</t>
  </si>
  <si>
    <t>Add Field From Dicovery TO ChangeManagement</t>
  </si>
  <si>
    <t>ADDFILETOINVEMTORYONCOPY</t>
  </si>
  <si>
    <t>Add file in inventory while copy file detected</t>
  </si>
  <si>
    <t>ADMIN_AUDITTRAIL</t>
  </si>
  <si>
    <t>Admin audittrail ON or OFF</t>
  </si>
  <si>
    <t>ON</t>
  </si>
  <si>
    <t>ADMIN_AUDITTRAIL_REASON</t>
  </si>
  <si>
    <t>Reason for admin audittrail</t>
  </si>
  <si>
    <t>3</t>
  </si>
  <si>
    <t>ADMIN_ESIGN</t>
  </si>
  <si>
    <t>Admin eSign OnGOOff</t>
  </si>
  <si>
    <t>ADPropertyForUserFullName</t>
  </si>
  <si>
    <t>AD Property name for the User full name</t>
  </si>
  <si>
    <t>ADSyncRunAsUserSyncFromTable</t>
  </si>
  <si>
    <t>Run ADSync to sync the users from the table.</t>
  </si>
  <si>
    <t>ADVANCE_QUERY</t>
  </si>
  <si>
    <t>OFF</t>
  </si>
  <si>
    <t>AgentDatabaseThrottlingLimit</t>
  </si>
  <si>
    <t>Maximum number of jobs that can start from the database from To Start to Started.</t>
  </si>
  <si>
    <t>50</t>
  </si>
  <si>
    <t>AgentDebugLog</t>
  </si>
  <si>
    <t>True</t>
  </si>
  <si>
    <t>AIAssociationAttributes</t>
  </si>
  <si>
    <t>List of columns which will be uer in AI Association funnel chart</t>
  </si>
  <si>
    <t>[# of Formulas], [# of Macros], [# of External links]</t>
  </si>
  <si>
    <t>AICandidateByPython</t>
  </si>
  <si>
    <t>AICandidate By Python</t>
  </si>
  <si>
    <t>AllowConvertCSVFile</t>
  </si>
  <si>
    <t>Generate ATQB report in CSV format from report scheduler</t>
  </si>
  <si>
    <t>AllowMaxInstanceToSingleUser</t>
  </si>
  <si>
    <t>AllowReadDenyForManageEUCPermissions</t>
  </si>
  <si>
    <t>AllowScanFilesFromMapFolder</t>
  </si>
  <si>
    <t>Allow Scan Files From Map Folder</t>
  </si>
  <si>
    <t>ALLOWTHINCREATEREADONLYTOFILEOWNER</t>
  </si>
  <si>
    <t>Allow thin file Create Read only to the owner.</t>
  </si>
  <si>
    <t>ALLOWTHINSAVEASTOFILEOWNER</t>
  </si>
  <si>
    <t>Allow thin file save as to the owner.</t>
  </si>
  <si>
    <t>ALLOWTHINSECURITYTOFILEOWNER</t>
  </si>
  <si>
    <t>Allow thin security menu to the file owner.</t>
  </si>
  <si>
    <t>ALLOWTHINSTARTCANCELWORKFLOWTOFILEOWNER</t>
  </si>
  <si>
    <t>Allow thin start/cancel workflow menu only to the file owner.</t>
  </si>
  <si>
    <t>ALLOWTOIMPORTFROMOUTSIDEMAPPEDPATH</t>
  </si>
  <si>
    <t>Allow the user to browse the file outside mapped folder.</t>
  </si>
  <si>
    <t>AlterYXExecutablePath</t>
  </si>
  <si>
    <t>%LocalAppData%\Alteryx\bin\AlteryxGui.exe|C:\Program Files\Alteryx\bin\AlteryxGui.exe|C:\Program Files (x86)\Alteryx\bin\AlteryxGui.exe</t>
  </si>
  <si>
    <t>APPENDDETAILWITHSIGNOFFNOTIFICATION</t>
  </si>
  <si>
    <t>Append broken policy details to Sign-Off  notifications.</t>
  </si>
  <si>
    <t>False</t>
  </si>
  <si>
    <t>APPENDSHAREPOINTSSLCERTIFICATEDOMAIN</t>
  </si>
  <si>
    <t>AppendSharepointSSLCertificateDomain</t>
  </si>
  <si>
    <t>cipl.com</t>
  </si>
  <si>
    <t>APPENDTOOLTIPTOFIELDTITLEINBRFORM</t>
  </si>
  <si>
    <t>Appended tooltip text in the column caption by seperating it with - and hide the tooltip in the metadata form.</t>
  </si>
  <si>
    <t>APPLYRISKFWAGENT</t>
  </si>
  <si>
    <t>Apply Risk Framework Formula in Agent Report</t>
  </si>
  <si>
    <t>ApplySecurityOnCertify</t>
  </si>
  <si>
    <t>APPSERVERHOST</t>
  </si>
  <si>
    <t>Application server Computer</t>
  </si>
  <si>
    <t>ARCHIVEACTUALFILE</t>
  </si>
  <si>
    <t>ARCHIVEFILEUSINGTTLPERIOD</t>
  </si>
  <si>
    <t>ARCHIVEPURGEAT</t>
  </si>
  <si>
    <t>ARCHIVESTATUSONRETIRED</t>
  </si>
  <si>
    <t>Set File Status when EUC is retire from inventory</t>
  </si>
  <si>
    <t>Archive</t>
  </si>
  <si>
    <t>ASSALLFILECOPIESTOEUCFROMDISCOVERY</t>
  </si>
  <si>
    <t>Associate all file copies to the selected EUC from Discovery</t>
  </si>
  <si>
    <t>AZUREAADInstance</t>
  </si>
  <si>
    <t>AZURE AAD Instance Name</t>
  </si>
  <si>
    <t>https://login.microsoftonline.com/{0}</t>
  </si>
  <si>
    <t>AZUREGraphAPIVersion</t>
  </si>
  <si>
    <t>AZURE Graph API Version No</t>
  </si>
  <si>
    <t>1.5</t>
  </si>
  <si>
    <t>AZUREGraphEndPoint</t>
  </si>
  <si>
    <t>AZURE Graph End Point</t>
  </si>
  <si>
    <t>https://graph.windows.net/</t>
  </si>
  <si>
    <t>AZUREGraphResourceId</t>
  </si>
  <si>
    <t>AZURE Graph Resource ID</t>
  </si>
  <si>
    <t>AZURERedirectUri</t>
  </si>
  <si>
    <t>AZURE Redirect Uri</t>
  </si>
  <si>
    <t>https://localhost</t>
  </si>
  <si>
    <t>BetterBrainAPIKey</t>
  </si>
  <si>
    <t>API key to access Better Brain.</t>
  </si>
  <si>
    <t>DVLgJedL7VAXwTZl0bzD5TU+ac2vduiwRpZ42HpCqfkHR4X29lLww5NHKnqqwxhN</t>
  </si>
  <si>
    <t>BetterBrainBaseAPI</t>
  </si>
  <si>
    <t>Base API of Better Brain.</t>
  </si>
  <si>
    <t>https://api.betterbrain.ai/api/v1/organizations/</t>
  </si>
  <si>
    <t>BetterBrainLLMExplainableTag</t>
  </si>
  <si>
    <t>URL Tag for Explainable LLM of Better Brain.</t>
  </si>
  <si>
    <t>140/hits</t>
  </si>
  <si>
    <t>BetterBrainLLMHallucinationTag</t>
  </si>
  <si>
    <t>URL Tag for LLM Hallucination of Better Brain.</t>
  </si>
  <si>
    <t>122/demos</t>
  </si>
  <si>
    <t>BoxBorder</t>
  </si>
  <si>
    <t>BoxBorder(SquareHandles,HatchHandles,MoveOnly,SquareHandles,SquareHandles2,DashFrame)</t>
  </si>
  <si>
    <t>SquareHandles2</t>
  </si>
  <si>
    <t>BR_DATEFORMAT</t>
  </si>
  <si>
    <t>MM/dd/yyyy</t>
  </si>
  <si>
    <t>BRColNameEUCDepartmentConfig</t>
  </si>
  <si>
    <t>Metadata EUC Department Config Column Name</t>
  </si>
  <si>
    <t>TEXTVALUE147</t>
  </si>
  <si>
    <t>BRColNameOwner</t>
  </si>
  <si>
    <t>Metedata EUC Owner Column Name.</t>
  </si>
  <si>
    <t>TEXTVALUE150</t>
  </si>
  <si>
    <t>BULKREASSIGNDELETPERIOD</t>
  </si>
  <si>
    <t>Remove Completed Jobs Submissions from Bulk Reassign User Workflow</t>
  </si>
  <si>
    <t>730</t>
  </si>
  <si>
    <t>BulkTaskSubmittedRecordCountOnGrid</t>
  </si>
  <si>
    <t>1000</t>
  </si>
  <si>
    <t>BulkWorkflowTaskApprovalNotificationRequired</t>
  </si>
  <si>
    <t>Bulk Workflow Task Approval Notification Required?</t>
  </si>
  <si>
    <t>CELL_UNLOCK</t>
  </si>
  <si>
    <t>cell protection change.</t>
  </si>
  <si>
    <t>CerifyFileInSOX</t>
  </si>
  <si>
    <t>CertifyFileWithoutUpdatingID</t>
  </si>
  <si>
    <t>Skip updating Risk ObjectId in case if it is already found in a file and the file is still not added in repository.</t>
  </si>
  <si>
    <t>CertifyOtherFilesUsingADS</t>
  </si>
  <si>
    <t>Certify the other file type with ADS.</t>
  </si>
  <si>
    <t>CHANGELIFECYCLEBYWORKFLOW</t>
  </si>
  <si>
    <t>Change LifeCycle Stage by Workflow</t>
  </si>
  <si>
    <t>CHECKINFILEAUTOMATICONWFEND</t>
  </si>
  <si>
    <t>Check file in if status of WF is ending.(CIBC Req.)</t>
  </si>
  <si>
    <t>CHECKOUTFROMNTFC</t>
  </si>
  <si>
    <t>CHUNKSIZEINREPORT</t>
  </si>
  <si>
    <t>Chunk size to get number of records in single time</t>
  </si>
  <si>
    <t>50000</t>
  </si>
  <si>
    <t>CLEARDEPENDENTVALUES</t>
  </si>
  <si>
    <t>CLEARVALUESINMETADATA</t>
  </si>
  <si>
    <t>Clear Value of Metadata Fields which are hidden by field dependency configuration</t>
  </si>
  <si>
    <t>CloseReportForm</t>
  </si>
  <si>
    <t>CLSPALLOWNOTE</t>
  </si>
  <si>
    <t>Note to display for Allow option of cell level security.</t>
  </si>
  <si>
    <t>* All remaining areas of the worksheet will be protected.</t>
  </si>
  <si>
    <t>CLSPRECEDEALLOW</t>
  </si>
  <si>
    <t>Precede Allow or Deny.</t>
  </si>
  <si>
    <t>CLSPRECEDENCENOTE</t>
  </si>
  <si>
    <t>Note to display for cell level security.</t>
  </si>
  <si>
    <t>* Deny will precede over Allow if multiple templates with different security types are assigned for the same object.</t>
  </si>
  <si>
    <t>CLUSTERMODEFORTHIN</t>
  </si>
  <si>
    <t>CLUSTERMODEFORZERO</t>
  </si>
  <si>
    <t>CMREPORT_PWD_PROTECT</t>
  </si>
  <si>
    <t>CM Report Password Protection</t>
  </si>
  <si>
    <t>COMBINENOTIFICATION</t>
  </si>
  <si>
    <t>Combine Notification coming for that notification cycle</t>
  </si>
  <si>
    <t>COMPACCESS</t>
  </si>
  <si>
    <t>ComplexFormulaCount</t>
  </si>
  <si>
    <t>ComplianceMode</t>
  </si>
  <si>
    <t>ZERO</t>
  </si>
  <si>
    <t>COMPLIENECE</t>
  </si>
  <si>
    <t>Level of Complience of File</t>
  </si>
  <si>
    <t>2</t>
  </si>
  <si>
    <t>CONTROLLED_FILES_PERCENTAGE</t>
  </si>
  <si>
    <t>Controll File Percentage</t>
  </si>
  <si>
    <t>+SDLv24gp4Jo2XiUndDGjg==</t>
  </si>
  <si>
    <t>ConvertExcelToPDFByAspose</t>
  </si>
  <si>
    <t>Convert Excel To PDF By Aspose</t>
  </si>
  <si>
    <t>CopyDetection_IgnoreGroupNameLength</t>
  </si>
  <si>
    <t>CopyDetection_SpcharIgnoreInGroup</t>
  </si>
  <si>
    <t>&amp;</t>
  </si>
  <si>
    <t>CopyExceptionAndNotificationOnCopyFile</t>
  </si>
  <si>
    <t>Copy Exception and Notification on Copy File</t>
  </si>
  <si>
    <t>CopyLeaksAPICodeDetector</t>
  </si>
  <si>
    <t>API that accepts the code file and show the code is written by AI or human.</t>
  </si>
  <si>
    <t>https://api.copyleaks.com/v2/writer-detector/source-code/{{my-custom-id}}/check</t>
  </si>
  <si>
    <t>CopyLeaksAPIEmailID</t>
  </si>
  <si>
    <t>Email ID of the CopyLeaks API.</t>
  </si>
  <si>
    <t>XklWoqBaRuSBKcN2dB3zN/LN75F7GGRPDgrjtJR839I=</t>
  </si>
  <si>
    <t>CopyLeaksAPIKey</t>
  </si>
  <si>
    <t>CopyLeaks API key from the provided EmailID to get the access token.</t>
  </si>
  <si>
    <t>IPEiwFNpfAFxqO1tWcpGlFrlB4sNGE79u1dkMssS1pbkf98oMwN9q7Kv5nWKcRUB</t>
  </si>
  <si>
    <t>CopyLeaksAPILogin</t>
  </si>
  <si>
    <t>Login Api for copy leaks that generates the access token.</t>
  </si>
  <si>
    <t>https://id.copyleaks.com/v3/account/login/api</t>
  </si>
  <si>
    <t>CR_REPORT_LOGO_HEIGHT</t>
  </si>
  <si>
    <t>Crystal Report Logo Height</t>
  </si>
  <si>
    <t>0</t>
  </si>
  <si>
    <t>CR_REPORT_LOGO_WIDTH</t>
  </si>
  <si>
    <t>Crystal Report Logo Width</t>
  </si>
  <si>
    <t>CreateNewDepartmentByEUCName</t>
  </si>
  <si>
    <t>Check create new department checkbox on page load.</t>
  </si>
  <si>
    <t>CurrentVersion</t>
  </si>
  <si>
    <t>EUC Insight Current Version</t>
  </si>
  <si>
    <t>883.45</t>
  </si>
  <si>
    <t>Custom Property Search By</t>
  </si>
  <si>
    <t>ROWS</t>
  </si>
  <si>
    <t>Custom Property Search Direction</t>
  </si>
  <si>
    <t>RIGHT</t>
  </si>
  <si>
    <t>CUSTOMIZED_MENU_SECURITY</t>
  </si>
  <si>
    <t>Customized menu security enableGODisable</t>
  </si>
  <si>
    <t>CustomLLMHallucinationThreshold</t>
  </si>
  <si>
    <t>Threshold for Custom LLM Hallucination.</t>
  </si>
  <si>
    <t>CUSTOMREPORTFROMMYSOX</t>
  </si>
  <si>
    <t>CVEApiParams</t>
  </si>
  <si>
    <t>It has the parameters that need to be passed in the API call of CVE.</t>
  </si>
  <si>
    <t>?virtualMatchString=cpe:2.3:*:*:{0}&amp;versionStart={1}&amp;versionStartType=including&amp;versionEnd={2}&amp;versionEndType=including</t>
  </si>
  <si>
    <t>CVEBaseAPIURL</t>
  </si>
  <si>
    <t>It is the base URL for the API call of CVE.</t>
  </si>
  <si>
    <t>https://services.nvd.nist.gov/rest/json/cves/2.0</t>
  </si>
  <si>
    <t>CVEDrillDownURL</t>
  </si>
  <si>
    <t>CVE Drill Down URL</t>
  </si>
  <si>
    <t>https://nvd.nist.gov/vuln/detail/</t>
  </si>
  <si>
    <t>DatabaseNumberDecimalSeparator</t>
  </si>
  <si>
    <t>DatabaseNumberGroupSeparator</t>
  </si>
  <si>
    <t>,</t>
  </si>
  <si>
    <t>DataDriftColThreshold</t>
  </si>
  <si>
    <t>It is applied individually on each column during hypothesis testing.</t>
  </si>
  <si>
    <t>None</t>
  </si>
  <si>
    <t>DataDriftOverallThreshold</t>
  </si>
  <si>
    <t>It is applied to the entire dataset.</t>
  </si>
  <si>
    <t>0.5</t>
  </si>
  <si>
    <t>DEBUGLOGFILESCOUNT</t>
  </si>
  <si>
    <t>Display the count of the latest generated download log files for the following EXEs: Automated User Management, Bulk Approvals / Bulk Rejections, and Automated Workflow Task Reassignment.</t>
  </si>
  <si>
    <t>DEFAULTVIEWASSOCIATEFILES</t>
  </si>
  <si>
    <t>DIS</t>
  </si>
  <si>
    <t>DeleteFromInventoryDetails</t>
  </si>
  <si>
    <t>Inventory details screen which remove files of selected Inventory Folder</t>
  </si>
  <si>
    <t>DEPTASSCHANGEASPERUSERINMETADATA</t>
  </si>
  <si>
    <t>Department user allocation as per metadata user fields value</t>
  </si>
  <si>
    <t>DetailedScanAdvancedSearch</t>
  </si>
  <si>
    <t>DIS_FILE_PROPERTIES</t>
  </si>
  <si>
    <t>DisFileProperties</t>
  </si>
  <si>
    <t># of Lists,# of Pivot Tables,Formula Blocks,Distinct Functions,Distinct Formulas,Complex formulas,Code Lines</t>
  </si>
  <si>
    <t>DisableDepartMentAssignmentonGroup</t>
  </si>
  <si>
    <t>DisableImportUserFromWeb</t>
  </si>
  <si>
    <t>Disable Import User feature from the EUC Insight (Web)</t>
  </si>
  <si>
    <t>DISASTERMODE</t>
  </si>
  <si>
    <t>DiscoveryReconcileFiles</t>
  </si>
  <si>
    <t>Discovery Reconcile Files</t>
  </si>
  <si>
    <t>DiscoveryWithWeb</t>
  </si>
  <si>
    <t>DISCOVRY_CONFIG_ACTION</t>
  </si>
  <si>
    <t>Action Id for Discovry Configuration</t>
  </si>
  <si>
    <t>953,954,955,956,771,770,768,765,764,760,759,758,757,756,754,751,750,749,748,747,746,745,744,741,740,739,738,737,736,735,733,732,731,730,729,728,718,717,716,715,714,713,709,708,752,957</t>
  </si>
  <si>
    <t>DISCOVRY_LOG_ACTION</t>
  </si>
  <si>
    <t>Action Id for Discovry Action</t>
  </si>
  <si>
    <t>154,162,161,171,155</t>
  </si>
  <si>
    <t>DisplayInventoryMenus</t>
  </si>
  <si>
    <t>Show/Hide Workflow Menu and its related item in Inventory and attachments</t>
  </si>
  <si>
    <t>DisplayPreparerApproval</t>
  </si>
  <si>
    <t>Show/Hide Preparer Approval button in ATQB result grid.</t>
  </si>
  <si>
    <t>DISPLAYWORKFLOWMENU</t>
  </si>
  <si>
    <t>To show/hide the workflow menu</t>
  </si>
  <si>
    <t>DOCSTATUSIDTOCOMPLETEWFONEUCONMETADATASAVEANDCONFIRM</t>
  </si>
  <si>
    <t>5</t>
  </si>
  <si>
    <t>DOCUMENTUM_PAGESIZE</t>
  </si>
  <si>
    <t>Page size of REST-API call for Documentum</t>
  </si>
  <si>
    <t>DownloadCSVFromSpreadsheetGear</t>
  </si>
  <si>
    <t xml:space="preserve">Download csv file from Spread sheet Gear or using write data process value (TRUE,FALSE) </t>
  </si>
  <si>
    <t>DueAssessmentOnStructureChange</t>
  </si>
  <si>
    <t>Due Assessment On Structure Change</t>
  </si>
  <si>
    <t>EMail_HangJob</t>
  </si>
  <si>
    <t>EMail_HangJob_Message</t>
  </si>
  <si>
    <t>EMail_HangJob_Subject</t>
  </si>
  <si>
    <t>Service stopped following Job</t>
  </si>
  <si>
    <t>XLRisk Agent Scheduler Service</t>
  </si>
  <si>
    <t>EmailBatchSize</t>
  </si>
  <si>
    <t>Email Batch Size</t>
  </si>
  <si>
    <t>20</t>
  </si>
  <si>
    <t>EnablePART11Mode</t>
  </si>
  <si>
    <t>EnablePushEvent</t>
  </si>
  <si>
    <t>Enable Push Event Architecture</t>
  </si>
  <si>
    <t>EncodingToExtractZipFiles</t>
  </si>
  <si>
    <t>Specify the encoding type of zip extract.</t>
  </si>
  <si>
    <t>IBM850</t>
  </si>
  <si>
    <t>EndOfSubmissionDays</t>
  </si>
  <si>
    <t>End Of Submission Days</t>
  </si>
  <si>
    <t>EnforceSAMLAuth</t>
  </si>
  <si>
    <t>ESERVERNAME</t>
  </si>
  <si>
    <t>eInfotree Server Name by which its created in Application server</t>
  </si>
  <si>
    <t>EUC_OWNWER_OVERRIDE</t>
  </si>
  <si>
    <t>POLICY</t>
  </si>
  <si>
    <t>EUCAutomationReport</t>
  </si>
  <si>
    <t>EUCBYTEXT</t>
  </si>
  <si>
    <t>EUC NAME BY TEXT</t>
  </si>
  <si>
    <t>EUC</t>
  </si>
  <si>
    <t>EUCMapReport_EmailErrorMessage</t>
  </si>
  <si>
    <t>Dear &lt;UserName&gt;_x000D_
_x000D_
There was an error while generating file lineage report for file: "&lt;FileName&gt;"_x000D_
_x000D_
Error: &lt;Error&gt;_x000D_
_x000D_
Thanks</t>
  </si>
  <si>
    <t>EUCMapReport_EmailMessage</t>
  </si>
  <si>
    <t xml:space="preserve">Dear &lt;UserName&gt;_x000D_
_x000D_
Find attached file lineage report for file: "&lt;FileName&gt;" as requested by you._x000D_
_x000D_
Thanks_x000D_
</t>
  </si>
  <si>
    <t>EUCMapReport_EmailSubject</t>
  </si>
  <si>
    <t>File Lineage Report</t>
  </si>
  <si>
    <t>EUCMapReport_Timeout</t>
  </si>
  <si>
    <t>EUCMapReport_Timeout (Minutes)</t>
  </si>
  <si>
    <t>EUCNOTIFICATIONCONFIG</t>
  </si>
  <si>
    <t>EVENT_BASE_WORKFLOW_STARTED</t>
  </si>
  <si>
    <t>Highlight for AT Eventbase Workflow Started.</t>
  </si>
  <si>
    <t>EXCEL_PART11</t>
  </si>
  <si>
    <t>Excel Part11 EnableGODisable</t>
  </si>
  <si>
    <t>EXCELBASEDCUSTOMREPORTDELETPERIOD</t>
  </si>
  <si>
    <t>For How many time need keep submitted Job.</t>
  </si>
  <si>
    <t>30</t>
  </si>
  <si>
    <t>EXCELBASEDCUSTOMREPORTOCCURANCE</t>
  </si>
  <si>
    <t>10</t>
  </si>
  <si>
    <t>EXCELBASEDCUSTOMREPORTPATH</t>
  </si>
  <si>
    <t>Specify the path where to store query results file</t>
  </si>
  <si>
    <t>C:\inetpub\wwwroot\EUCInsight\Share_Report</t>
  </si>
  <si>
    <t>EXCELBASEDCUSTOMREPORTQUERYEXECTIMEOUT</t>
  </si>
  <si>
    <t>Set Query Execution Timeout Value in Mins</t>
  </si>
  <si>
    <t>EXCELREPORTSHEETLIMIT</t>
  </si>
  <si>
    <t>Maximum number of records per sheet</t>
  </si>
  <si>
    <t>500000</t>
  </si>
  <si>
    <t>EXCEPTIONBUSINESSHOURSEND</t>
  </si>
  <si>
    <t>End time for business hours.</t>
  </si>
  <si>
    <t>18:00:00</t>
  </si>
  <si>
    <t>EXCEPTIONBUSINESSHOURSSTART</t>
  </si>
  <si>
    <t>Start time for business hours.</t>
  </si>
  <si>
    <t>09:00:00</t>
  </si>
  <si>
    <t>EXCEPTIONSKIPFIRSTXMONTHCHANGES</t>
  </si>
  <si>
    <t>Skip the first X month changes for the file.</t>
  </si>
  <si>
    <t>EXCHANGE_SERVER_SUPPORT</t>
  </si>
  <si>
    <t>EXCLUDEKEYWORDSREGEX</t>
  </si>
  <si>
    <t>Exclude Keywords (RegEx)</t>
  </si>
  <si>
    <t>8269602C</t>
  </si>
  <si>
    <t>ExcludePythonLibrary_ClientScan</t>
  </si>
  <si>
    <t>ExcludePythonLibrary_ClientScan (pipe | separated). E.g: PIP|requests</t>
  </si>
  <si>
    <t>PIP</t>
  </si>
  <si>
    <t>ExcludePythonLibrary_CVEScan</t>
  </si>
  <si>
    <t>ExcludePythonLibrary_CVEScan (pipe | separated). E.g: PIP|requests</t>
  </si>
  <si>
    <t>EXECFROMSERVICE</t>
  </si>
  <si>
    <t>To run jobs from service.</t>
  </si>
  <si>
    <t>EXPORT_METADATA_OR_WORKFLOW_TIMOUT</t>
  </si>
  <si>
    <t>EXPORT METADATA OR WORKFLOW TIMOUT in Secs.</t>
  </si>
  <si>
    <t>120</t>
  </si>
  <si>
    <t>EXPORTIMAGE</t>
  </si>
  <si>
    <t xml:space="preserve">Export to Image feature </t>
  </si>
  <si>
    <t>EXPORTTOEXCLE</t>
  </si>
  <si>
    <t>FairnessAccThreshold</t>
  </si>
  <si>
    <t>Accuracy Threshold</t>
  </si>
  <si>
    <t>0.01</t>
  </si>
  <si>
    <t>FairnessCountThreshold</t>
  </si>
  <si>
    <t>Count Threshold</t>
  </si>
  <si>
    <t>FairnessFNRThreshold</t>
  </si>
  <si>
    <t>False Negative Rate Threshold</t>
  </si>
  <si>
    <t>FairnessFPRThreshold</t>
  </si>
  <si>
    <t>False Positive Rate Threshold</t>
  </si>
  <si>
    <t>FairnessPreThreshold</t>
  </si>
  <si>
    <t>Precision Threshold</t>
  </si>
  <si>
    <t>FairnessSRThreshold</t>
  </si>
  <si>
    <t>Selection Rate Threshold</t>
  </si>
  <si>
    <t>FairnessThreshold</t>
  </si>
  <si>
    <t>It is for all hypothesis test.</t>
  </si>
  <si>
    <t>FairnessTNRThreshold</t>
  </si>
  <si>
    <t>True Negative Rate Threshold</t>
  </si>
  <si>
    <t>FairnessTPRThreshold</t>
  </si>
  <si>
    <t>True Positive Rate Threshold</t>
  </si>
  <si>
    <t>FastLastSavedByAndAuthor</t>
  </si>
  <si>
    <t>Fast Last Saved By And Author</t>
  </si>
  <si>
    <t>FastScanAllFiles</t>
  </si>
  <si>
    <t>FastScanKeywordSearch</t>
  </si>
  <si>
    <t>Fast Scan Keyword Search</t>
  </si>
  <si>
    <t>FastScanKeywordSearchExcludedExtensions</t>
  </si>
  <si>
    <t>.exe,.dll,.tlb,.mui,.mdb,.mde,.jpg,.bmp,.tiff,.png,.gif,.ico,.msi,.cab,.tmp,.od,.cvr</t>
  </si>
  <si>
    <t>FastScanKeywordSearchFunction</t>
  </si>
  <si>
    <t>Fast Scan Keyword Search Functionality</t>
  </si>
  <si>
    <t>FastScanKeywordSearchTimeOut</t>
  </si>
  <si>
    <t>FastScanKeywordSearchTimeOut (Seconds)</t>
  </si>
  <si>
    <t>FastScanNTFSOwner</t>
  </si>
  <si>
    <t>Fast Scan NTFSOwner</t>
  </si>
  <si>
    <t>FETCH_FILESECURITY</t>
  </si>
  <si>
    <t>FetchAccessMateriality</t>
  </si>
  <si>
    <t>FetchExternalLinksDetails</t>
  </si>
  <si>
    <t>FetchLinkTablesDetails</t>
  </si>
  <si>
    <t>FetchMacroLinksDetails</t>
  </si>
  <si>
    <t>FetchNameRangeLinksDetails</t>
  </si>
  <si>
    <t>FetchPivotTableLinksDetails</t>
  </si>
  <si>
    <t>FetchQueryDetails</t>
  </si>
  <si>
    <t>FetchVBAQueryActiveConnection</t>
  </si>
  <si>
    <t>File Watcher Copy</t>
  </si>
  <si>
    <t>FILE_DELETE</t>
  </si>
  <si>
    <t>FileControlType</t>
  </si>
  <si>
    <t>FILENOTOPENEDFROMCONFIGUREDPATH</t>
  </si>
  <si>
    <t>To allow/deny the user if the file opened from the path which is not mapped. 0-Allow, 1-Deny</t>
  </si>
  <si>
    <t>FilePathValidation</t>
  </si>
  <si>
    <t>FileSecurityExplicit</t>
  </si>
  <si>
    <t>FileSecurityInherited</t>
  </si>
  <si>
    <t>FileSizeFirst</t>
  </si>
  <si>
    <t>First Range of File Size</t>
  </si>
  <si>
    <t>FileSizeLast</t>
  </si>
  <si>
    <t>Last Range of File Size</t>
  </si>
  <si>
    <t>FILESIZETOSKIP</t>
  </si>
  <si>
    <t>FILESTREAMINDIFFERENTREGION</t>
  </si>
  <si>
    <t>FileUpdateService_LinkLevel</t>
  </si>
  <si>
    <t>FileUpdateService Link Level</t>
  </si>
  <si>
    <t>FileUpdateService_TopRecordsRecursive</t>
  </si>
  <si>
    <t>FileUpdateService Top Records Recursive</t>
  </si>
  <si>
    <t>FORM_RUNTIME</t>
  </si>
  <si>
    <t>FORMULA_OMITS_ADJACENT_CELLS</t>
  </si>
  <si>
    <t>Highlight for AT FORMULA OMITS ADJACENT CELLS</t>
  </si>
  <si>
    <t>FRAUDDETECTION</t>
  </si>
  <si>
    <t>2940-D4E2-F7A1-D840-82DE-90CE-54C0-569E</t>
  </si>
  <si>
    <t>FRAUDSCHEDULERMODE</t>
  </si>
  <si>
    <t>FrequencyThreshold</t>
  </si>
  <si>
    <t>In Frequency keep fix threshold of +/- XXX days</t>
  </si>
  <si>
    <t>FSWSkipFileOpenDetails</t>
  </si>
  <si>
    <t>FTCEventCopyWaitTimeToPendingFolder</t>
  </si>
  <si>
    <t>GE_TRANSFERATTEMPTOMAINFROMFRAUD</t>
  </si>
  <si>
    <t>Transfer AT to Main Table from Fraud</t>
  </si>
  <si>
    <t>GenerateCellsATOfInsertedDeletedSheet</t>
  </si>
  <si>
    <t>GenerateEventOnCertify</t>
  </si>
  <si>
    <t>GenerateIFHistoryOnSaveDraft</t>
  </si>
  <si>
    <t>Generate Inventory Form History on Save Draft</t>
  </si>
  <si>
    <t>GetActualUserName</t>
  </si>
  <si>
    <t>GETLINKTABLEDATA</t>
  </si>
  <si>
    <t>GoldorMasterFileAssociate</t>
  </si>
  <si>
    <t>HangJobRestartInterval</t>
  </si>
  <si>
    <t>HideAICandidateFileAttributes</t>
  </si>
  <si>
    <t>Hide AI Candidate File Attributes</t>
  </si>
  <si>
    <t>HideAutoFetchinMetadata</t>
  </si>
  <si>
    <t>HideConfigureDefaultValueMetadata</t>
  </si>
  <si>
    <t>Hide Configure Default Value Configuration in Inventory Form</t>
  </si>
  <si>
    <t>HideControlStatus</t>
  </si>
  <si>
    <t>HIDEDATEFIELDS</t>
  </si>
  <si>
    <t>Hide Date Fields i.e : Date of Last Assessment,Next Assessment Date</t>
  </si>
  <si>
    <t>HIDEDATERANGEINSIGNOFF</t>
  </si>
  <si>
    <t>Hide Date Range from the Sign-Off functionality</t>
  </si>
  <si>
    <t>HIDEDBWINDOWFORREADONLYFILE</t>
  </si>
  <si>
    <t>Hide Database Window For Read-only File.</t>
  </si>
  <si>
    <t>HideDesktopScan</t>
  </si>
  <si>
    <t>Hide Desktop Scan</t>
  </si>
  <si>
    <t>HIDEEUCLIST</t>
  </si>
  <si>
    <t>HideExecute</t>
  </si>
  <si>
    <t>Hide Execute Button in UI</t>
  </si>
  <si>
    <t>HideExtraMenusFromWorkflowDesigner</t>
  </si>
  <si>
    <t>HideFastScanOptions</t>
  </si>
  <si>
    <t>Hide Fast Scan Options</t>
  </si>
  <si>
    <t>HideFindingandException</t>
  </si>
  <si>
    <t>HideGithubInCM</t>
  </si>
  <si>
    <t>HideGlobalUsers</t>
  </si>
  <si>
    <t>Hide Global Users</t>
  </si>
  <si>
    <t>HideImportWorkflowConfigFromWeb</t>
  </si>
  <si>
    <t>Hide Import Workflow Configuration from Web</t>
  </si>
  <si>
    <t>HideLifeCycleStageDialog</t>
  </si>
  <si>
    <t>HideMetadataFieldFromSupportingDoc</t>
  </si>
  <si>
    <t>Hide Supporting Doc Metadata Field</t>
  </si>
  <si>
    <t>HideOpenSource</t>
  </si>
  <si>
    <t>HideOwnerFileSecurity</t>
  </si>
  <si>
    <t>To hide/show Owner from File Security</t>
  </si>
  <si>
    <t>HidePurgeNotificationWithDocumentArchive</t>
  </si>
  <si>
    <t>HIDEQUICKRISKFACTORANALYSIS</t>
  </si>
  <si>
    <t>HideRecallUser</t>
  </si>
  <si>
    <t>HIDEREGISTERLINK</t>
  </si>
  <si>
    <t>HIDEROLLBACKFROMMETAHIST</t>
  </si>
  <si>
    <t>Hide Rollback Functionality from UI.</t>
  </si>
  <si>
    <t>HideTaskBaseWFOptionFromUI</t>
  </si>
  <si>
    <t>Hide Task Base Workflow Option From UI For Inventory</t>
  </si>
  <si>
    <t>HideTimeToLiveFromCertify</t>
  </si>
  <si>
    <t>Hide  Time to Live  Certify window at every area. (Web, plugin, right click certify, discovery)</t>
  </si>
  <si>
    <t>HIDEWORKBENCH</t>
  </si>
  <si>
    <t>Highlight Keyword Report</t>
  </si>
  <si>
    <t>HIGHLIGHT_LOCKED_CELL</t>
  </si>
  <si>
    <t>HOMECHARTSETTING</t>
  </si>
  <si>
    <t>Home chart setting</t>
  </si>
  <si>
    <t>ME</t>
  </si>
  <si>
    <t>HomeDashbordChartDefaultDefID</t>
  </si>
  <si>
    <t>Select DefID of Inventory form field which need to be select by default Home Dashbord Chart</t>
  </si>
  <si>
    <t>128</t>
  </si>
  <si>
    <t>HomePageDepartmentFilterCount</t>
  </si>
  <si>
    <t>IgnoreModifyFormulaDueToLinkChange</t>
  </si>
  <si>
    <t>IgnoreRextensionsINRegEx</t>
  </si>
  <si>
    <t>Ignore Rextensions in RegEx</t>
  </si>
  <si>
    <t>INCLUDEEUCINSIGHTLINKINWFNOTIFICATION</t>
  </si>
  <si>
    <t>INCLUDE EUCINSIGHT LINK IN WFNOTIFICATION</t>
  </si>
  <si>
    <t>InsertDepartmentOnCreateEUCCopyDetection</t>
  </si>
  <si>
    <t>Insert Department On Creation of EUC on Copy Detection</t>
  </si>
  <si>
    <t>InValidCharsForColCaption</t>
  </si>
  <si>
    <t>Invalid Characters for Column Caption</t>
  </si>
  <si>
    <t>~&lt;||&gt;!&lt;||&gt;@&lt;||&gt;#&lt;||&gt;$&lt;||&gt;%&lt;||&gt;^&lt;||&gt;*&lt;||&gt;+&lt;||&gt;|&lt;||&gt;{&lt;||&gt;}&lt;||&gt;""&lt;||&gt;:&lt;||&gt;&lt;&lt;||&gt;&gt;&lt;||&gt;,&lt;||&gt;;&lt;||&gt;'&lt;||&gt;[&lt;||&gt;]</t>
  </si>
  <si>
    <t>InValidCharsForEUC</t>
  </si>
  <si>
    <t>Invalid Characters for EUC</t>
  </si>
  <si>
    <t>",&lt;,&gt;,|</t>
  </si>
  <si>
    <t>InValidCharsForString</t>
  </si>
  <si>
    <t>Invalid Characters for String</t>
  </si>
  <si>
    <t>&gt;,&lt;,',"",%,),(,+,&amp;,;</t>
  </si>
  <si>
    <t>Inventory Last Scan Date</t>
  </si>
  <si>
    <t>INVENTORY_CONFIG_ACTION</t>
  </si>
  <si>
    <t>Action Id for Inventory Configuration</t>
  </si>
  <si>
    <t>INVENTORY_EUCS_PERCENTAGE</t>
  </si>
  <si>
    <t>Inventory EUCs Percentage Value</t>
  </si>
  <si>
    <t>INVENTORY_LOG_ACTION</t>
  </si>
  <si>
    <t>Action Id for Inventory Action</t>
  </si>
  <si>
    <t>175,176</t>
  </si>
  <si>
    <t>ISAllowUserEnable</t>
  </si>
  <si>
    <t>Assign user Enable For insert or add</t>
  </si>
  <si>
    <t>ISCENTRALREPORTINGDB</t>
  </si>
  <si>
    <t>ISDDLADMINASSIGN</t>
  </si>
  <si>
    <t>IsFileDataEncryptedBySQLAlwaysEncryption</t>
  </si>
  <si>
    <t>SQL Always Encryption Functionality Implementation</t>
  </si>
  <si>
    <t>ISFILESTREAMCOLUMN</t>
  </si>
  <si>
    <t>ISMETADATAMAXIMIZED</t>
  </si>
  <si>
    <t>IsRetireEUCfromDispositionProcess</t>
  </si>
  <si>
    <t>IsValidPatternChar</t>
  </si>
  <si>
    <t>Charater To check valid Character for Pattern and String</t>
  </si>
  <si>
    <t>&gt;,&lt;,',",),(,+,&amp;,;</t>
  </si>
  <si>
    <t>JobUpdationTimerInFileShare</t>
  </si>
  <si>
    <t>JobUpdationTimerInFileShare in minutes</t>
  </si>
  <si>
    <t>KEEPCHECKOUTSTATUSFORCHECKIN</t>
  </si>
  <si>
    <t>To enable/disable the keep checkout option at the time of checkin. 0-Enabled, 1-Disabled and Unchecked, 2-Disabled and Checked</t>
  </si>
  <si>
    <t>LastNdaysToDisplayHighlights</t>
  </si>
  <si>
    <t>Display Highlights by Last N Days in file summary</t>
  </si>
  <si>
    <t>LDAP</t>
  </si>
  <si>
    <t>LICENSE_TYPE</t>
  </si>
  <si>
    <t>License Type</t>
  </si>
  <si>
    <t>573581576574</t>
  </si>
  <si>
    <t>LINKFIXER_GetParentFilesHavingHyperlinksByKeyword</t>
  </si>
  <si>
    <t>LiveScan</t>
  </si>
  <si>
    <t>LiveScanTimer</t>
  </si>
  <si>
    <t>LLMRiskAssDetectors</t>
  </si>
  <si>
    <t>List of Detectors for LLM Risk Assessments.</t>
  </si>
  <si>
    <t>Hallucination and Misinformation,Harmfulness,Prompt Injection,Robustness,Output Formatting,Sensitive Information Disclosure,Stereotypes</t>
  </si>
  <si>
    <t>LLMRiskAssessmentThreshold</t>
  </si>
  <si>
    <t>Threshold for LLM Risk Assessment.</t>
  </si>
  <si>
    <t>LogFileSize</t>
  </si>
  <si>
    <t>LogFileSize (In KB)</t>
  </si>
  <si>
    <t>102400</t>
  </si>
  <si>
    <t>MACRO_CHANGE</t>
  </si>
  <si>
    <t>Highlight for AT MACRO_CHANGE</t>
  </si>
  <si>
    <t>ManageEUCPermissionsFromMySOX</t>
  </si>
  <si>
    <t>ManageFileOwnerForZero</t>
  </si>
  <si>
    <t>To manage the file owner for Zero file</t>
  </si>
  <si>
    <t>MAPFILEWATCHERALIASFOLDER</t>
  </si>
  <si>
    <t>Consider Alias Map folder for the</t>
  </si>
  <si>
    <t>MaskValueFromCellLevelAT</t>
  </si>
  <si>
    <t>Mask Value From Cell Level AT</t>
  </si>
  <si>
    <t>MaxKeywordCountForFile</t>
  </si>
  <si>
    <t>MaxMapFoldersToImportInDiscoveryPolicy</t>
  </si>
  <si>
    <t>Maximum number of Map Folders to be import in Discovery Policy</t>
  </si>
  <si>
    <t>MaxNoOfRecordToSelectOfPMResultInMetaData</t>
  </si>
  <si>
    <t>Select Maximum Number Of Record Of Parameterized Query Result If Control Is MultiSelect In MetaData By Default</t>
  </si>
  <si>
    <t>MaxRecordToBeDisplayInMultiSelectDropdown</t>
  </si>
  <si>
    <t>Maximum number of records to be display in Multiselect Dropdown</t>
  </si>
  <si>
    <t>MaxUsersToImportInDiscoveryPolicy</t>
  </si>
  <si>
    <t>Maximum number of users for the selected department to be import in Discovery Policy</t>
  </si>
  <si>
    <t>METADTATAHELP</t>
  </si>
  <si>
    <t>Metadata Help</t>
  </si>
  <si>
    <t>MigrateOldOffice365IDs</t>
  </si>
  <si>
    <t>MIGWARN_EXTENSIONS_OPEN</t>
  </si>
  <si>
    <t>wj1,wj2,wj3,xlc,wk1,wk4,wks,wk3,wq1</t>
  </si>
  <si>
    <t>MIGWARN_EXTENSIONS_SAVE</t>
  </si>
  <si>
    <t>wks,xlc</t>
  </si>
  <si>
    <t>MIGWARN_VBA_DLL</t>
  </si>
  <si>
    <t>MSOWC.dll,OWC10.dll,OWC11.dll</t>
  </si>
  <si>
    <t>MissingArgumentSettings</t>
  </si>
  <si>
    <t>(,|,,|,)</t>
  </si>
  <si>
    <t>ModifiedDateFirst</t>
  </si>
  <si>
    <t>First Range of File Modified Date</t>
  </si>
  <si>
    <t>ModifiedDateLast</t>
  </si>
  <si>
    <t>Last Range of File Modified Date</t>
  </si>
  <si>
    <t>MYSOXXLURL</t>
  </si>
  <si>
    <t>MYSOXXL URl</t>
  </si>
  <si>
    <t>https://win2k19app17.cipl.com/EUCinsight</t>
  </si>
  <si>
    <t>NameSpacesToIdentifyCognosFile</t>
  </si>
  <si>
    <t>It will have the comma separated namespaces of Cognos to identify from the XML.</t>
  </si>
  <si>
    <t>http://www.developer.cognos.com/schemas/bmt,</t>
  </si>
  <si>
    <t>NextAssessmentPeriodInDays</t>
  </si>
  <si>
    <t>Next Assessment Period In Days</t>
  </si>
  <si>
    <t>NEXTASSPERIODFOREXCEPTION</t>
  </si>
  <si>
    <t>Next Assessment Period when exception Occured to associated EUCs in Days</t>
  </si>
  <si>
    <t>NODAYSINRECYCLEBIN</t>
  </si>
  <si>
    <t>1</t>
  </si>
  <si>
    <t>NODAYSINRECYCLEBINFORINV</t>
  </si>
  <si>
    <t>No of days in the recycle bin before permanent delete</t>
  </si>
  <si>
    <t>NoOfContinuousBlankCells</t>
  </si>
  <si>
    <t>NoOfficeModeAccessCM</t>
  </si>
  <si>
    <t>NoOfficeModeCM</t>
  </si>
  <si>
    <t>NOTALLOWBULKCOPY</t>
  </si>
  <si>
    <t>NotificationCSS</t>
  </si>
  <si>
    <t>https://win2k19app17.cipl.com/EUCinsight/NotificationCSS/notcss/notfstyles.css</t>
  </si>
  <si>
    <t>NotificationTitle</t>
  </si>
  <si>
    <t>Notification title to be displayed in header.</t>
  </si>
  <si>
    <t>NOTIFICATON_OPTION</t>
  </si>
  <si>
    <t>ojbIr2vvQfA2sOk5/6u3xQ==</t>
  </si>
  <si>
    <t>lsb5KonnojEqwU+IizFftg==</t>
  </si>
  <si>
    <t>OTHER_FILEEXT_FOR_EUCCAT</t>
  </si>
  <si>
    <t>Other type file's extensions to include in Euc category Dashboard</t>
  </si>
  <si>
    <t>.txt,.rpt,.sql,.doc,.docx</t>
  </si>
  <si>
    <t>OtherFile_FetchExcelLinks</t>
  </si>
  <si>
    <t>doc,docx,dot,dotm,dotx,ppsm,ppsx,ppt,pptm,pptx</t>
  </si>
  <si>
    <t>OtherFile_FetchKeywords</t>
  </si>
  <si>
    <t>doc,docm,docx,dot,dotm,dotx,ipynb,pbit,pbix,pdf,pot,potm,potx,powerautomate,pps,ppsx,ppt,pptm,pptx,py,R,rpt,sas,sql,tbm,tds,tdsx,twb,twbx,txt</t>
  </si>
  <si>
    <t>OtherFile_FetchMetadata</t>
  </si>
  <si>
    <t>OtherFile_ReadAsTXT</t>
  </si>
  <si>
    <t>ipynb,powerautomate,ppsm,ppsx,py,R,sas,sql,txt</t>
  </si>
  <si>
    <t>OtherFileExtensions_FetchOnlyKeywords</t>
  </si>
  <si>
    <t>It will allow only to fetch Keywrods and the rest of the options will be disabled in the UI.</t>
  </si>
  <si>
    <t>EXE,DLL,JAR,PYC,KNIME,KNWF,TWB,TWBX,TDS,TDSX,TBM,PBIX,PBIT</t>
  </si>
  <si>
    <t>PAGE_SIZE</t>
  </si>
  <si>
    <t>Page Size for PE and PT</t>
  </si>
  <si>
    <t>PARSE_XMLTags_TableRef</t>
  </si>
  <si>
    <t>PauseAfterEachAPICall</t>
  </si>
  <si>
    <t>It will add a pause after each API Call in seconds.</t>
  </si>
  <si>
    <t>PDFSERVERSHAREDPATH</t>
  </si>
  <si>
    <t>Shared path required for the PDF Server.</t>
  </si>
  <si>
    <t>\\MEET\PDFServer</t>
  </si>
  <si>
    <t>PHYSICAL_TABLE</t>
  </si>
  <si>
    <t>PlugInAddZeroFileOnCertify</t>
  </si>
  <si>
    <t>Allow to add zero file from the plugin on certify.</t>
  </si>
  <si>
    <t>PlugInAddZeroFileOnSaveAs</t>
  </si>
  <si>
    <t>Allow to add zero file from the plugin on save as.</t>
  </si>
  <si>
    <t>PlugInAlertForHighRiskFile</t>
  </si>
  <si>
    <t>This is a High Risk file but is currently not being monitored as per EUC Policy.</t>
  </si>
  <si>
    <t>PlugInDisplayNoiseReductionNote</t>
  </si>
  <si>
    <t>This parameter is used to display the noise reduction note in the "Audit Trail Report" form.</t>
  </si>
  <si>
    <t>PlugInMaintainGoldCopy</t>
  </si>
  <si>
    <t>PlugInMaintainGoldCopyForSharePointFile</t>
  </si>
  <si>
    <t>To turn off the Master/Gold copy feature for the SharePoint files.</t>
  </si>
  <si>
    <t>PlugInPromptForMonitorNormalFile</t>
  </si>
  <si>
    <t>PlugInRestrictUseCopyForChangedMasterFile</t>
  </si>
  <si>
    <t>PLUGINSKIPCHANGINGFILETITLE</t>
  </si>
  <si>
    <t>PLUGINSKIPDISPLAYINGUNMONITORED</t>
  </si>
  <si>
    <t>Skip displaying "Unmonitored" text on excel title bar when file is not detected as monitored.</t>
  </si>
  <si>
    <t>PLUGINSKIPFILEOPENDETAILS</t>
  </si>
  <si>
    <t>PlugInSPFileMonitorPropertyID</t>
  </si>
  <si>
    <t>MONITOR_x005F_x0020_IN_x005F_x0020_EUCI</t>
  </si>
  <si>
    <t>PolicyForHomePageCount</t>
  </si>
  <si>
    <t>EUC Candidate</t>
  </si>
  <si>
    <t>POLICYVIOLATIONURL</t>
  </si>
  <si>
    <t>Policy Violation URL.</t>
  </si>
  <si>
    <t>https://win2k19app17.cipl.com/EUCinsight/PolicyDetail2N.aspx</t>
  </si>
  <si>
    <t>PowerBIExtensions</t>
  </si>
  <si>
    <t>Supported PowerBI Extensions</t>
  </si>
  <si>
    <t>pbix,pbit</t>
  </si>
  <si>
    <t>PPT_Certify_Extensions</t>
  </si>
  <si>
    <t>PPT,PPTX,PPTM,POT,POTX,POTM</t>
  </si>
  <si>
    <t>PREDICATEATREVIEWSTATUSBYAI</t>
  </si>
  <si>
    <t>Predicate AT Review Status By AI</t>
  </si>
  <si>
    <t>PREVENTVERIFYWITHSAMEUSER</t>
  </si>
  <si>
    <t>PRODUCT_SETTING</t>
  </si>
  <si>
    <t>PmrYPyR2SloX+Eq3sUMlIg==</t>
  </si>
  <si>
    <t>PurgeNotificationWithDocumentArchive</t>
  </si>
  <si>
    <t>PWD_LAST_N</t>
  </si>
  <si>
    <t>Last N Password</t>
  </si>
  <si>
    <t>PWD_MASK</t>
  </si>
  <si>
    <t>Password Mask</t>
  </si>
  <si>
    <t>PWD_MAX_LENGTH</t>
  </si>
  <si>
    <t>Maximum length of password</t>
  </si>
  <si>
    <t>PWD_MIN_LENGTH</t>
  </si>
  <si>
    <t>Minimum length of password</t>
  </si>
  <si>
    <t>PWDTOOPENERRMSG</t>
  </si>
  <si>
    <t>Password To Open Error Message</t>
  </si>
  <si>
    <t>THE PASSWORD YOU SUPPLIED IS NOT CORRECT</t>
  </si>
  <si>
    <t>PythonExePathAIFairness</t>
  </si>
  <si>
    <t>Path of the installed python exe of version 3.12 for AI Fairness.</t>
  </si>
  <si>
    <t>C:\Program Files\Python312\python.exe</t>
  </si>
  <si>
    <t>PythonExePathAIInterpretability</t>
  </si>
  <si>
    <t>Path of the installed python exe of version 3.11.0 for AI Interpretability.</t>
  </si>
  <si>
    <t>C:\Program Files\Python311\python.exe</t>
  </si>
  <si>
    <t>PythonFileExtensions</t>
  </si>
  <si>
    <t>Python File Extensions</t>
  </si>
  <si>
    <t>py,ipynb</t>
  </si>
  <si>
    <t>PythonFileSizeLimitMB</t>
  </si>
  <si>
    <t>Python File Size Limit MB</t>
  </si>
  <si>
    <t>PythonImportsPattern</t>
  </si>
  <si>
    <t>Python Imports Pattern</t>
  </si>
  <si>
    <t>((?&lt;=^((\s+|)from\s+\.\s+import\s+))[\w\.]+)|((?&lt;=^((\s+|)import\s+))[a-z\s,\.]+;)|((?&lt;=^((\s+|)import\s+))[\w\.-]+)|((?&lt;=^(from\s+)).*?(?=\s+import))</t>
  </si>
  <si>
    <t>PythonModuleSearchValue</t>
  </si>
  <si>
    <t>Python Module Search Value</t>
  </si>
  <si>
    <t>*.dist-info|*.egg-info</t>
  </si>
  <si>
    <t>PythonOutputFileExtensions</t>
  </si>
  <si>
    <t>PNG|JPG|BMP|GIF|TIF|PDF</t>
  </si>
  <si>
    <t>RB_DATERANGE_BASED_ON_MODIFIEDDATE</t>
  </si>
  <si>
    <t>Applies date filter accordingly,Default is FALSE</t>
  </si>
  <si>
    <t>ReadFileInfoByDSOInventory</t>
  </si>
  <si>
    <t>Refresh Dashboard(s) Manually</t>
  </si>
  <si>
    <t>To run dashboard jobs manually.</t>
  </si>
  <si>
    <t>RefreshEUCOwnerInMetaData</t>
  </si>
  <si>
    <t>Refresh EUCOwner In MetaData On PageLoad</t>
  </si>
  <si>
    <t>RegExPythonEUCMapFile</t>
  </si>
  <si>
    <t>"[^.].*?(\.(&lt;TemplateExtension&gt;))\/*"|'[^.].*?(\.(&lt;TemplateExtension&gt;))\/*'</t>
  </si>
  <si>
    <t>RegExPythonEUCMapFilter</t>
  </si>
  <si>
    <t>'[a-zA-Z0-9\p{L}\u0080-\uFFFF!@#%^&amp;*()_+-=\[\]{}|;:"$,.&lt;&gt;?~`\\\/\s]+\.[a-zA-Z]+\/*'|"[a-zA-Z0-9\p{L}\u0080-\uFFFF!@#%^&amp;*()_+-=\[\]{}|;':$,.&lt;&gt;?~`\\\/\s]+\.[a-zA-Z]+\/*"</t>
  </si>
  <si>
    <t>RegExYear</t>
  </si>
  <si>
    <t>((^20\d{2}(?=[^\d]))|(?&lt;=[^\d])20\d{2}(?=[^\d])|((?&lt;=[^\d])20\d{2}$))</t>
  </si>
  <si>
    <t>RemoveALLSessionData</t>
  </si>
  <si>
    <t>Remove all session data.</t>
  </si>
  <si>
    <t>RemoveDeMonitorAndArchive</t>
  </si>
  <si>
    <t>RemoveHTMLCharsFromCustomProp</t>
  </si>
  <si>
    <t>It will remove the specified HTML charcters from the custome properties before save.</t>
  </si>
  <si>
    <t>&lt;,&gt;,\</t>
  </si>
  <si>
    <t>RemoveSessionDataFromMetadata</t>
  </si>
  <si>
    <t>Remove all session data from the metadata page.</t>
  </si>
  <si>
    <t>REPETATION_DAYS_DASHBOARDJOB</t>
  </si>
  <si>
    <t>Job subtract this many days from today and start data calculation from that day. To avoid loss of AT.</t>
  </si>
  <si>
    <t>REPLACEFILEONFILESHAREBYSERVICEONROLLBACK</t>
  </si>
  <si>
    <t>REPORT_FONT_NAME</t>
  </si>
  <si>
    <t>Crystal Report Font Name</t>
  </si>
  <si>
    <t>REPORT_FONT_SIZE</t>
  </si>
  <si>
    <t>Crystal Report Font Size</t>
  </si>
  <si>
    <t>REPORT_PWD_PROTECT</t>
  </si>
  <si>
    <t>Report Password Protection</t>
  </si>
  <si>
    <t>REQUIRECLIENTSIDEENCRYPTION</t>
  </si>
  <si>
    <t>Decide whether client side encryption is require or not</t>
  </si>
  <si>
    <t>REQUIRECLIENTSIDEENCRYPTIONWEB</t>
  </si>
  <si>
    <t>RequireCommentsOnWorkflowStatusChange</t>
  </si>
  <si>
    <t>Require Comments On Workflow Status Change.</t>
  </si>
  <si>
    <t>RequireEUCStatus</t>
  </si>
  <si>
    <t>Require EUC Status</t>
  </si>
  <si>
    <t>RestrictDriveInEUCPath</t>
  </si>
  <si>
    <t>Restrict Drive In EUC Path</t>
  </si>
  <si>
    <t>RESTRICTNOTIFICATIONFORWORKFLOWUSER</t>
  </si>
  <si>
    <t>Restrict notification for ongoing workflow task user with few exception</t>
  </si>
  <si>
    <t>RestrictSameUserOnWorkFlowChangeStatus</t>
  </si>
  <si>
    <t>Restrict same user to perform change status operation on workflow.</t>
  </si>
  <si>
    <t>RESTRICTSUCCESSIVESTATUSRULEFORSAMEUSER</t>
  </si>
  <si>
    <t>To Restrict successive status rule by same user in workflow</t>
  </si>
  <si>
    <t>RestrictTempShareAccessToDomainUsers</t>
  </si>
  <si>
    <t>Restrict Temp Share Access To Domain Users(Y/N)</t>
  </si>
  <si>
    <t>Resume scan when XLRisk Agent gets stopped</t>
  </si>
  <si>
    <t>ReturnProviderSpecificTypes</t>
  </si>
  <si>
    <t>RFileExtensions</t>
  </si>
  <si>
    <t>R File Extensions</t>
  </si>
  <si>
    <t>RFileSizeLimitMB</t>
  </si>
  <si>
    <t>R File Size Limit MB</t>
  </si>
  <si>
    <t>RiskLevelLableText</t>
  </si>
  <si>
    <t>Risk Level Lable Text</t>
  </si>
  <si>
    <t>Risk Level</t>
  </si>
  <si>
    <t>SAS_FILES_EXTENSIONS</t>
  </si>
  <si>
    <t>*.sas7bdat</t>
  </si>
  <si>
    <t>SAS_SUPPORT</t>
  </si>
  <si>
    <t>SAVEATOFDELETEDFILE</t>
  </si>
  <si>
    <t>Scan Links Out Side Map Folder</t>
  </si>
  <si>
    <t>ScanAlterYXFileDetails</t>
  </si>
  <si>
    <t>ScanClientForPythonModules</t>
  </si>
  <si>
    <t>Scan Client For Python Modules</t>
  </si>
  <si>
    <t>ScanCognosFileDetails</t>
  </si>
  <si>
    <t>Scan Details of Cognos Analytics Files.</t>
  </si>
  <si>
    <t>ScanExcelFile_Extensions</t>
  </si>
  <si>
    <t>xla,gsheet</t>
  </si>
  <si>
    <t>ScanExtensionsAlterYX</t>
  </si>
  <si>
    <t>YXMD,YXWZ,YXZP,YXMC</t>
  </si>
  <si>
    <t>ScanExtensionsForTableau</t>
  </si>
  <si>
    <t>TWB,TWBX,TDS,TDSX,TBM</t>
  </si>
  <si>
    <t>ScanExtensionsKNIME</t>
  </si>
  <si>
    <t>List of extension supported for KNIME</t>
  </si>
  <si>
    <t>knime,knwf</t>
  </si>
  <si>
    <t>ScanExtensionsXSN</t>
  </si>
  <si>
    <t>XSN</t>
  </si>
  <si>
    <t>ScanHyperlinks</t>
  </si>
  <si>
    <t>ScanKNIMEFileDetails</t>
  </si>
  <si>
    <t>ScanPBIXFileDetails</t>
  </si>
  <si>
    <t>it will Scan the deatils of PBIX Files.</t>
  </si>
  <si>
    <t>ScanPowerAppsFile</t>
  </si>
  <si>
    <t>Scan PowerApp File Details</t>
  </si>
  <si>
    <t>ScanPowerAutomateFile</t>
  </si>
  <si>
    <t>Scan PowerAutomate File Details</t>
  </si>
  <si>
    <t>ScanPythonForEUCMap</t>
  </si>
  <si>
    <t>ScanPythonImports</t>
  </si>
  <si>
    <t>Scan Python Imports</t>
  </si>
  <si>
    <t>ScanPythonWithPylint</t>
  </si>
  <si>
    <t>Scan Python files Using Pylint</t>
  </si>
  <si>
    <t>ScanRptFileDetails</t>
  </si>
  <si>
    <t>ScanRWithlintr</t>
  </si>
  <si>
    <t>Scan R files Using lintr</t>
  </si>
  <si>
    <t>ScanTableauFileDetails</t>
  </si>
  <si>
    <t>it will Scan the deatils of Tableau Files.</t>
  </si>
  <si>
    <t>ScanUiPathFileDetails</t>
  </si>
  <si>
    <t>ScanUIPathNamespaceURI</t>
  </si>
  <si>
    <t>Configure Supported UIPath Namespace</t>
  </si>
  <si>
    <t>http://schemas.microsoft.com/netfx/2009/xaml/activities</t>
  </si>
  <si>
    <t>ScanUsingExcel</t>
  </si>
  <si>
    <t>Scan Using Excel</t>
  </si>
  <si>
    <t>ScanXSNFileDetails</t>
  </si>
  <si>
    <t>SearchUpdatedFilebyAccessDate</t>
  </si>
  <si>
    <t>SelectAllRecordOfPMResultInMetaData</t>
  </si>
  <si>
    <t>Select All Record Of Parameterized Query Result If Control Is MultiSelect In MetaData By Default</t>
  </si>
  <si>
    <t>SelectMyEUCCheckBoxByDefault</t>
  </si>
  <si>
    <t>SendNotificationForApprovedChanges</t>
  </si>
  <si>
    <t>To send notification for approved changes</t>
  </si>
  <si>
    <t>SendNotificationForRejectedChanges</t>
  </si>
  <si>
    <t>To send notification for rejected changes</t>
  </si>
  <si>
    <t>SeperatePermissionForSaveAndChangeStatus</t>
  </si>
  <si>
    <t>SETEXPORTDATAFLAGSTONONE</t>
  </si>
  <si>
    <t>To set proper format in discovery and Inventory 2nd pane export result</t>
  </si>
  <si>
    <t>SETGROUPLEADID</t>
  </si>
  <si>
    <t>Set Group Leader ID when its value is TRUE</t>
  </si>
  <si>
    <t>SetManualRiskOverride</t>
  </si>
  <si>
    <t>SHARE_POINT_SUPPORT</t>
  </si>
  <si>
    <t>Share Point Support</t>
  </si>
  <si>
    <t>SHOWACTUALDECIMALSEPERATOROTHERTHENENGLISHCULTURE</t>
  </si>
  <si>
    <t>ShowAdvanceScanColumns</t>
  </si>
  <si>
    <t>ShowAdvanceScanColumns and DetailedScanAdvancedSearch checkbox</t>
  </si>
  <si>
    <t>SHOWCITIFONTSINEDITOR</t>
  </si>
  <si>
    <t>Show Company Specific fonts</t>
  </si>
  <si>
    <t>ShowControlsWhileAddEUC</t>
  </si>
  <si>
    <t>Hide Checkbox of Create New Department,Radio Buttons : Monitor File in Change Management Controls And Add File in Discovery</t>
  </si>
  <si>
    <t>SHOWDASHBOARD</t>
  </si>
  <si>
    <t>ShowDispositionConfig</t>
  </si>
  <si>
    <t>Yq4pbt/q6AX6fMijyUCOCQ==</t>
  </si>
  <si>
    <t>ShowDrilldownIn2ndPane</t>
  </si>
  <si>
    <t>SHOWENCRYPTIONSETTINGS</t>
  </si>
  <si>
    <t>Show encryption option</t>
  </si>
  <si>
    <t>ShowFileAccessForZeroFile</t>
  </si>
  <si>
    <t>To Show/Hide File Access Tab For Zero File</t>
  </si>
  <si>
    <t>SHOWIMPORTFROMXLADVANCEOPTION</t>
  </si>
  <si>
    <t>Import File(s) from Excel with advance option</t>
  </si>
  <si>
    <t>SHOWKEYWORDAPI</t>
  </si>
  <si>
    <t>Show KEYWORD API</t>
  </si>
  <si>
    <t>ShowMetadataOnCertify</t>
  </si>
  <si>
    <t>Show MetadataonCertify</t>
  </si>
  <si>
    <t>ShowPolicyAsProcess</t>
  </si>
  <si>
    <t>ShowReOcc</t>
  </si>
  <si>
    <t>Show Re-Occurrence Options from Workflow Designer.</t>
  </si>
  <si>
    <t>SHOWSENSITIVITYLABELMAPPING</t>
  </si>
  <si>
    <t>ShowSignificanColumnInCMSecondPane</t>
  </si>
  <si>
    <t>Show Significant Column In Change Management 2nd Pane</t>
  </si>
  <si>
    <t>ShowStartWFFromNotification</t>
  </si>
  <si>
    <t>Show StartWorkFlow option From Notification page.</t>
  </si>
  <si>
    <t>SHOWTABLEAUMENU</t>
  </si>
  <si>
    <t>ShowTableForm</t>
  </si>
  <si>
    <t>Show Table search Form.</t>
  </si>
  <si>
    <t>ShowVBASecurityForZeroFile</t>
  </si>
  <si>
    <t>To Show/Hide VBA Security Tab For Zero File</t>
  </si>
  <si>
    <t>SHOWWORKFLOWBYPLANDATE</t>
  </si>
  <si>
    <t>SIMILARCOLORDIFFERENCE</t>
  </si>
  <si>
    <t>SKIPATBYMETADATAUSINGMULTIPLEFIELD</t>
  </si>
  <si>
    <t>Skip AT by Configuring Multiple Metadata Field</t>
  </si>
  <si>
    <t>SkipCellATForInsertedRowColumn</t>
  </si>
  <si>
    <t>Skip CellAT For Inserted Row Column</t>
  </si>
  <si>
    <t>SkipDeleteScheduledQuery</t>
  </si>
  <si>
    <t>SkipTempFileNameStartWith</t>
  </si>
  <si>
    <t>Skip Temp File Name Start With</t>
  </si>
  <si>
    <t>~$</t>
  </si>
  <si>
    <t>SMTPPassword</t>
  </si>
  <si>
    <t>Password of SMTP</t>
  </si>
  <si>
    <t>O38AbUnZfRAetVjlsbfjdw==</t>
  </si>
  <si>
    <t>SMTPSSL</t>
  </si>
  <si>
    <t>SSL</t>
  </si>
  <si>
    <t>SMTPUserName</t>
  </si>
  <si>
    <t>UserName of SMTP</t>
  </si>
  <si>
    <t>SOXXL_THIN_CLIENT</t>
  </si>
  <si>
    <t>SOXXL_ZERO_CLIENT</t>
  </si>
  <si>
    <t>SQL_PARSE_EXTENSIONS</t>
  </si>
  <si>
    <t>SQL</t>
  </si>
  <si>
    <t>StartStopATGenerationByStatus</t>
  </si>
  <si>
    <t>Allow start/stop AT Generation by File Status.</t>
  </si>
  <si>
    <t>STARTWORKFLOWFORADDEUC</t>
  </si>
  <si>
    <t>STARTWORKFLOWFORRETIREEUC</t>
  </si>
  <si>
    <t>STARTWORKNOTIFICATIONCONFIG</t>
  </si>
  <si>
    <t>SUBMITFORSCANGRIDPAGESIZE</t>
  </si>
  <si>
    <t>Submit for Scan grid page size value</t>
  </si>
  <si>
    <t>SUPPORTEDACCESSFILETYPES</t>
  </si>
  <si>
    <t>MDB,MDC,ACCDB,ACCDC,ACCDE</t>
  </si>
  <si>
    <t>SUPPORTEDFILETYPES</t>
  </si>
  <si>
    <t>XLS,MDB</t>
  </si>
  <si>
    <t>SUPPORTEDPPTFILETYPES</t>
  </si>
  <si>
    <t>Supported Powerpoint Files</t>
  </si>
  <si>
    <t>PPT,PPTX,PPTM,POT,POTX,POTM,GSLIDES</t>
  </si>
  <si>
    <t>SupportedSASFileTypes</t>
  </si>
  <si>
    <t>Sas supported format</t>
  </si>
  <si>
    <t>SAS7BDAT</t>
  </si>
  <si>
    <t>SUPPORTEDTEXTFILETYPES</t>
  </si>
  <si>
    <t>TXT,PY,R,PS1,SQL,SAS,IPYNB,DOC,XLS,MDB,RPT,YXMD</t>
  </si>
  <si>
    <t>SUPPORTEDWORDFILETYPES</t>
  </si>
  <si>
    <t>Supported Word Files</t>
  </si>
  <si>
    <t>DOC,DOT,DOCX,DOCM,DOTX,DOTM,GDOC</t>
  </si>
  <si>
    <t>SUPPORTEDXLSFILETYPES</t>
  </si>
  <si>
    <t>XLS,XLT,XLSX,XLTX,XLSM,XLTM,XLSB,GSHEET</t>
  </si>
  <si>
    <t>SYNCFROMRISKTOSOX</t>
  </si>
  <si>
    <t>Sync. Metadata from Dicovery TO ChangeManagement</t>
  </si>
  <si>
    <t>SYNCFROMSOXTORISK</t>
  </si>
  <si>
    <t>Sync. Metadata from ChangeManagement TO Dicovery</t>
  </si>
  <si>
    <t>TABLEOBJECT</t>
  </si>
  <si>
    <t>Table Object Add On parameter</t>
  </si>
  <si>
    <t>tEIcQtB/g+z7tqPC9pPedxTD3qVPSfq05Te3eFrFwjI=</t>
  </si>
  <si>
    <t>GBQfEwlFnoLhOfVaJ0W6kAtKjRMn0YgHISizh/NWo39HD10VEWMDYjm7H7Glh0p3WKZRqeikfMYj0V3Zg2DB4iINZYn1tRCZl6mmSVMTtHeBr/vK7kjREYeTM29+q4H3D/0uWB8bE/iyExR2NVFR+A==</t>
  </si>
  <si>
    <t>THINDISPLAYWORKFLOWSECURITYFORFILEACCESSTAB</t>
  </si>
  <si>
    <t>Display effective privileges due to workflow for thin file.</t>
  </si>
  <si>
    <t>TipTimer</t>
  </si>
  <si>
    <t>TOPFIRSTPANERECORDS</t>
  </si>
  <si>
    <t>Top Records setting in Discovery Second Pane</t>
  </si>
  <si>
    <t>100000</t>
  </si>
  <si>
    <t>TopSignificanColumnSearch</t>
  </si>
  <si>
    <t>Set Limit for File Search Results Data</t>
  </si>
  <si>
    <t>2000</t>
  </si>
  <si>
    <t>TTL Period</t>
  </si>
  <si>
    <t>UniqueIdentifierLevel</t>
  </si>
  <si>
    <t>NumberValue30</t>
  </si>
  <si>
    <t>UnreadableFontSizeValue</t>
  </si>
  <si>
    <t>UPDATE_PRODUCT_DETAIL</t>
  </si>
  <si>
    <t>Allow to change Product details (Product name and logo)</t>
  </si>
  <si>
    <t>UpdateJobStatusOfHangJob</t>
  </si>
  <si>
    <t>URL</t>
  </si>
  <si>
    <t>Application URL</t>
  </si>
  <si>
    <t>https://win2k19app17.cipl.com/sox-xlAdministrator/default.htm</t>
  </si>
  <si>
    <t>UseInventoryInPhaseFilter</t>
  </si>
  <si>
    <t>USERGROUPPERMISSIONS</t>
  </si>
  <si>
    <t>ValidateMetadataFieldCaption</t>
  </si>
  <si>
    <t>ValReb_BC_AccThreshold</t>
  </si>
  <si>
    <t xml:space="preserve">Provides a threshold value for the Accuracy of the Validity &amp; Reliability test of Binary Classification. </t>
  </si>
  <si>
    <t>0.95</t>
  </si>
  <si>
    <t>ValReb_BC_F1Threshold</t>
  </si>
  <si>
    <t xml:space="preserve">Provides a threshold value for the F1 Score of the Validity &amp; Reliability test of Binary Classification. </t>
  </si>
  <si>
    <t>ValReb_BC_FalseNegThreshold</t>
  </si>
  <si>
    <t xml:space="preserve">Provides a threshold value for the False Negatvie of the Validity &amp; Reliability test of Binary Classification. </t>
  </si>
  <si>
    <t>0.1</t>
  </si>
  <si>
    <t>ValReb_BC_FalsePosThreshold</t>
  </si>
  <si>
    <t xml:space="preserve">Provides a threshold value for the False Positive of the Validity &amp; Reliability test of Binary Classification. </t>
  </si>
  <si>
    <t>ValReb_BC_PrecThreshold</t>
  </si>
  <si>
    <t xml:space="preserve">Provides a threshold value for the Precision of the Validity &amp; Reliability test of Binary Classification. </t>
  </si>
  <si>
    <t>ValReb_BC_RecallThreshold</t>
  </si>
  <si>
    <t xml:space="preserve">Provides a threshold value for the Recall of the Validity &amp; Reliability test of Binary Classification. </t>
  </si>
  <si>
    <t>ValReb_BC_RocAucThreshold</t>
  </si>
  <si>
    <t xml:space="preserve">Provides a threshold value for the ROC Curve of the Validity &amp; Reliability test of Binary Classification. </t>
  </si>
  <si>
    <t>ValReb_BC_TrueNegThreshold</t>
  </si>
  <si>
    <t xml:space="preserve">Provides a threshold value for the True Negatvie of the Validity &amp; Reliability test of Binary Classification. </t>
  </si>
  <si>
    <t>0.3</t>
  </si>
  <si>
    <t>ValReb_BC_TruePosThreshold</t>
  </si>
  <si>
    <t xml:space="preserve">Provides a threshold value for the True Positive of the Validity &amp; Reliability test of Binary Classification. </t>
  </si>
  <si>
    <t>ValReb_REG_MAEthreshold</t>
  </si>
  <si>
    <t>ValReb_REG_MAEthreshold.</t>
  </si>
  <si>
    <t>ValReb_REG_R2threshold</t>
  </si>
  <si>
    <t>ValReb_REG_R2threshold.</t>
  </si>
  <si>
    <t>ValReb_REG_RMSEthreshold</t>
  </si>
  <si>
    <t>ValReb_REG_RMSEthreshold.</t>
  </si>
  <si>
    <t>VBAAddInExtensions</t>
  </si>
  <si>
    <t>XLAM,XLA,XLL,DNA,DLL,ACCDA,ACCDE,MDA,MDE</t>
  </si>
  <si>
    <t>VERSION_FORMAT</t>
  </si>
  <si>
    <t>VERSION_OVERRIDE</t>
  </si>
  <si>
    <t>VERSION_STARTWITH</t>
  </si>
  <si>
    <t>VERSION_USER_STRING_PREFIX</t>
  </si>
  <si>
    <t>VERSION_USER_STRING_SUFFIX</t>
  </si>
  <si>
    <t>VERSIONDETECTION</t>
  </si>
  <si>
    <t>Show Version Detection</t>
  </si>
  <si>
    <t>VIOLATION_OF_BEST_PRACTICE</t>
  </si>
  <si>
    <t>Highlight for AT Violation of Best Practice.</t>
  </si>
  <si>
    <t>VolatileFunctionsList</t>
  </si>
  <si>
    <t>RAND|RANDBETWEEN|NOW|TODAY|OFFSET|CELL|INDIRECT|INFO|HYPERLINK|INDEX|AREAS</t>
  </si>
  <si>
    <t>WDJOB_REGISTER</t>
  </si>
  <si>
    <t>Workflow Job is registered Or Not</t>
  </si>
  <si>
    <t>WF_ADHOC</t>
  </si>
  <si>
    <t>Open Workflow Template</t>
  </si>
  <si>
    <t>WF_AUDITTRAIL</t>
  </si>
  <si>
    <t>WF_Default</t>
  </si>
  <si>
    <t>Default Workflow</t>
  </si>
  <si>
    <t>WF_ESIGN</t>
  </si>
  <si>
    <t>WF_REASONFIELD</t>
  </si>
  <si>
    <t>WORD_Certify_Extensions</t>
  </si>
  <si>
    <t>DOC,DOT,DOCX,DOCM,DOTX,DOTM</t>
  </si>
  <si>
    <t>WORKFLOW</t>
  </si>
  <si>
    <t>XLClientActionIdsForFormulaChanges</t>
  </si>
  <si>
    <t>EXCEL Action Ids list for Formula changes to display in file summary.</t>
  </si>
  <si>
    <t>23,24,25,26,204,205,247</t>
  </si>
  <si>
    <t>XLClientActionIdsForStructureChanges</t>
  </si>
  <si>
    <t>EXCEL Action Ids list for Structure changes to display in file summary.</t>
  </si>
  <si>
    <t>21,22,211,212,19,20,209,210,4,13,14,17,18,61,246</t>
  </si>
  <si>
    <t>XLRiskAPIRegExForPythonFile</t>
  </si>
  <si>
    <t>XLRisk python file datasource API regex</t>
  </si>
  <si>
    <t>requests\.get\("(.+?)"\)</t>
  </si>
  <si>
    <t>XLRiskFileUpdateService_Policy</t>
  </si>
  <si>
    <t>XLRiskFileUpdateService_Scan</t>
  </si>
  <si>
    <t>XLRiskMySQLRegExForPythonFile</t>
  </si>
  <si>
    <t>XLRisk python file datasource MySQL regex</t>
  </si>
  <si>
    <t>mysql\.connector\.connect\(host="(.*?)",user="(.*?)",password="(.*?)",database="(.*?)"\)</t>
  </si>
  <si>
    <t>XLRiskSQLServerRegExForPythonFile</t>
  </si>
  <si>
    <t>XLRisk python file datasource SQLServer regex</t>
  </si>
  <si>
    <t>pyodbc\.connect\('DRIVER=.*?SERVER=(.*?);.*?DATABASE=(.*?);.*?UID=(.*?);.*?PWD=(.*?)'\)</t>
  </si>
  <si>
    <t>XMLTags_DirectRef</t>
  </si>
  <si>
    <t>XSClientActionIdsForQueryChanges</t>
  </si>
  <si>
    <t>Access Action Ids list for Query changes to display in file summary.</t>
  </si>
  <si>
    <t>4,5,6</t>
  </si>
  <si>
    <t>XSClientActionIdsForTableChanges</t>
  </si>
  <si>
    <t>Access Action Ids list for Table changes to display in file summary.</t>
  </si>
  <si>
    <t>1,2,3</t>
  </si>
  <si>
    <t>ZEROSERVICEEVENTOFLASTNDAYS</t>
  </si>
  <si>
    <t>TRACK ZERO SERVICE EVENT OF LAST N DAYS</t>
  </si>
  <si>
    <t>ZIP_FILE_SUPPORT</t>
  </si>
  <si>
    <t>ZIP File Support</t>
  </si>
  <si>
    <t>ZIPARCHIVEDFILE</t>
  </si>
  <si>
    <t>To zip the archived file.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</si>
</sst>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&quot;$&quot;#,##0.00"/>
    <numFmt numFmtId="167" formatCode=";;"/>
    <numFmt numFmtId="168" formatCode="[$€-2]\ #,##0.00_);\([$€-2]\ #,##0.00\)"/>
    <numFmt numFmtId="169" formatCode=";;;"/>
    <numFmt numFmtId="170" formatCode="[$-409]h:mm\ AM/PM;@"/>
    <numFmt numFmtId="171" formatCode="[$-409]d\-mmm\-yyyy;@"/>
    <numFmt numFmtId="172" formatCode="h:mm:ss;@"/>
  </numFmts>
  <fonts count="9" x14ac:knownFonts="1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40404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43">
    <xf numFmtId="0" fontId="0" fillId="0" borderId="0" xfId="0"/>
    <xf numFmtId="166" fontId="0" fillId="0" borderId="0" xfId="0" applyNumberFormat="1"/>
    <xf numFmtId="0" fontId="6" fillId="0" borderId="0" xfId="2"/>
    <xf numFmtId="14" fontId="0" fillId="0" borderId="0" xfId="0" applyNumberFormat="1"/>
    <xf numFmtId="22" fontId="0" fillId="0" borderId="0" xfId="0" applyNumberFormat="1"/>
    <xf numFmtId="49" fontId="0" fillId="0" borderId="0" xfId="0" applyNumberFormat="1"/>
    <xf numFmtId="0" fontId="5" fillId="0" borderId="0" xfId="0" applyFont="1"/>
    <xf numFmtId="167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7" fontId="0" fillId="0" borderId="0" xfId="0" applyNumberFormat="1"/>
    <xf numFmtId="164" fontId="4" fillId="0" borderId="0" xfId="1" applyNumberFormat="1" applyFont="1"/>
    <xf numFmtId="168" fontId="4" fillId="0" borderId="0" xfId="1" applyNumberFormat="1" applyFont="1"/>
    <xf numFmtId="0" fontId="6" fillId="0" borderId="0" xfId="2" applyAlignment="1" applyProtection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7" fillId="0" borderId="0" xfId="0" applyFont="1"/>
    <xf numFmtId="0" fontId="2" fillId="2" borderId="0" xfId="0" applyFont="1" applyFill="1"/>
    <xf numFmtId="0" fontId="0" fillId="0" borderId="0" xfId="0" applyProtection="1">
      <protection locked="0"/>
    </xf>
    <xf numFmtId="2" fontId="0" fillId="0" borderId="0" xfId="0" applyNumberFormat="1"/>
    <xf numFmtId="169" fontId="0" fillId="0" borderId="0" xfId="0" applyNumberFormat="1"/>
    <xf numFmtId="20" fontId="0" fillId="0" borderId="0" xfId="0" applyNumberForma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0" fillId="2" borderId="0" xfId="0" applyFill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quotePrefix="1" applyFont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NumberFormat="1"/>
  </cellXfs>
  <cellStyles count="3">
    <cellStyle name="Currency" xfId="1" builtinId="4"/>
    <cellStyle name="Hyperlink" xfId="2" builtinId="8"/>
    <cellStyle name="Normal" xfId="0" builtinId="0"/>
  </cellStyles>
  <dxfs count="28"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numFmt numFmtId="173" formatCode="m/d/yyyy\ h:mm"/>
    </dxf>
    <dxf>
      <numFmt numFmtId="173" formatCode="m/d/yyyy\ h:mm"/>
    </dxf>
    <dxf>
      <numFmt numFmtId="173" formatCode="m/d/yyyy\ h:mm"/>
    </dxf>
    <dxf>
      <numFmt numFmtId="173" formatCode="m/d/yyyy\ h:mm"/>
    </dxf>
    <dxf>
      <numFmt numFmtId="173" formatCode="m/d/yyyy\ h:mm"/>
    </dxf>
    <dxf>
      <numFmt numFmtId="173" formatCode="m/d/yyyy\ h:mm"/>
    </dxf>
    <dxf>
      <numFmt numFmtId="174" formatCode="m/d/yyyy"/>
    </dxf>
    <dxf>
      <numFmt numFmtId="174" formatCode="m/d/yyyy"/>
    </dxf>
    <dxf>
      <numFmt numFmtId="174" formatCode="m/d/yyyy"/>
    </dxf>
    <dxf>
      <numFmt numFmtId="174" formatCode="m/d/yyyy"/>
    </dxf>
    <dxf>
      <numFmt numFmtId="174" formatCode="m/d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</font>
      <fill>
        <patternFill>
          <bgColor theme="5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pivotCacheDefinition" Target="pivotCache/pivotCacheDefinition1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016185476815399E-2"/>
          <c:y val="0.13418766404199475"/>
          <c:w val="0.76629024496937881"/>
          <c:h val="0.69871522309711287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Formula!$B$39:$B$42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FA-4D50-A153-0FA3C352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824048"/>
        <c:axId val="89824592"/>
      </c:barChart>
      <c:catAx>
        <c:axId val="89824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9824592"/>
        <c:crosses val="autoZero"/>
        <c:auto val="1"/>
        <c:lblAlgn val="ctr"/>
        <c:lblOffset val="100"/>
        <c:noMultiLvlLbl val="0"/>
      </c:catAx>
      <c:valAx>
        <c:axId val="8982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9824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Chart!$C$5</c:f>
              <c:strCache>
                <c:ptCount val="1"/>
                <c:pt idx="0">
                  <c:v>Mark</c:v>
                </c:pt>
              </c:strCache>
            </c:strRef>
          </c:tx>
          <c:invertIfNegative val="0"/>
          <c:cat>
            <c:multiLvlStrRef>
              <c:f>Chart!$A$6:$B$8</c:f>
              <c:multiLvlStrCache>
                <c:ptCount val="3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Chart!$C$6:$C$8</c:f>
              <c:numCache>
                <c:formatCode>General</c:formatCode>
                <c:ptCount val="3"/>
                <c:pt idx="0">
                  <c:v>11</c:v>
                </c:pt>
                <c:pt idx="1">
                  <c:v>12</c:v>
                </c:pt>
                <c:pt idx="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65-4F47-916E-EA286CB1F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334544"/>
        <c:axId val="2047960480"/>
      </c:barChart>
      <c:catAx>
        <c:axId val="87334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47960480"/>
        <c:crosses val="autoZero"/>
        <c:auto val="1"/>
        <c:lblAlgn val="ctr"/>
        <c:lblOffset val="100"/>
        <c:noMultiLvlLbl val="0"/>
      </c:catAx>
      <c:valAx>
        <c:axId val="204796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3345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Summary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Chart!$C$5</c:f>
              <c:strCache>
                <c:ptCount val="1"/>
                <c:pt idx="0">
                  <c:v>Mark</c:v>
                </c:pt>
              </c:strCache>
            </c:strRef>
          </c:tx>
          <c:invertIfNegative val="0"/>
          <c:cat>
            <c:multiLvlStrRef>
              <c:f>Chart!$A$6:$B$8</c:f>
              <c:multiLvlStrCache>
                <c:ptCount val="3"/>
                <c:lvl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:lvl>
              </c:multiLvlStrCache>
            </c:multiLvlStrRef>
          </c:cat>
          <c:val>
            <c:numRef>
              <c:f>Chart!$C$6:$C$8</c:f>
              <c:numCache>
                <c:formatCode>General</c:formatCode>
                <c:ptCount val="3"/>
                <c:pt idx="0">
                  <c:v>11</c:v>
                </c:pt>
                <c:pt idx="1">
                  <c:v>12</c:v>
                </c:pt>
                <c:pt idx="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3-4B5F-AB1C-BA515F72A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4364896"/>
        <c:axId val="564361632"/>
      </c:barChart>
      <c:catAx>
        <c:axId val="5643648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64361632"/>
        <c:crosses val="autoZero"/>
        <c:auto val="1"/>
        <c:lblAlgn val="ctr"/>
        <c:lblOffset val="100"/>
        <c:noMultiLvlLbl val="0"/>
      </c:catAx>
      <c:valAx>
        <c:axId val="5643616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564364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016185476815399E-2"/>
          <c:y val="0.13418766404199475"/>
          <c:w val="0.76629024496937881"/>
          <c:h val="0.69871522309711287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Formula!$B$39:$B$42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33-4D0C-909A-7D6BC6683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4370880"/>
        <c:axId val="564346400"/>
      </c:barChart>
      <c:catAx>
        <c:axId val="564370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4346400"/>
        <c:crosses val="autoZero"/>
        <c:auto val="1"/>
        <c:lblAlgn val="ctr"/>
        <c:lblOffset val="100"/>
        <c:noMultiLvlLbl val="0"/>
      </c:catAx>
      <c:valAx>
        <c:axId val="564346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4370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2486025</xdr:colOff>
      <xdr:row>38</xdr:row>
      <xdr:rowOff>76200</xdr:rowOff>
    </xdr:from>
    <xdr:to>
      <xdr:col>8</xdr:col>
      <xdr:colOff>285750</xdr:colOff>
      <xdr:row>44</xdr:row>
      <xdr:rowOff>38100</xdr:rowOff>
    </xdr:to>
    <xdr:graphicFrame macro="">
      <xdr:nvGraphicFramePr>
        <xdr:cNvPr id="1444" name="Chart 1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10</xdr:row>
      <xdr:rowOff>142875</xdr:rowOff>
    </xdr:from>
    <xdr:to>
      <xdr:col>13</xdr:col>
      <xdr:colOff>361950</xdr:colOff>
      <xdr:row>25</xdr:row>
      <xdr:rowOff>28575</xdr:rowOff>
    </xdr:to>
    <xdr:graphicFrame macro="">
      <xdr:nvGraphicFramePr>
        <xdr:cNvPr id="4223" name="Chart 1">
          <a:extLst>
            <a:ext uri="{FF2B5EF4-FFF2-40B4-BE49-F238E27FC236}">
              <a16:creationId xmlns:a16="http://schemas.microsoft.com/office/drawing/2014/main" id="{00000000-0008-0000-0300-00007F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238125</xdr:colOff>
      <xdr:row>27</xdr:row>
      <xdr:rowOff>47625</xdr:rowOff>
    </xdr:from>
    <xdr:to>
      <xdr:col>11</xdr:col>
      <xdr:colOff>542925</xdr:colOff>
      <xdr:row>41</xdr:row>
      <xdr:rowOff>123825</xdr:rowOff>
    </xdr:to>
    <xdr:graphicFrame macro="">
      <xdr:nvGraphicFramePr>
        <xdr:cNvPr id="4224" name="Chart 1">
          <a:extLst>
            <a:ext uri="{FF2B5EF4-FFF2-40B4-BE49-F238E27FC236}">
              <a16:creationId xmlns:a16="http://schemas.microsoft.com/office/drawing/2014/main" id="{00000000-0008-0000-0300-00008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2486025</xdr:colOff>
      <xdr:row>38</xdr:row>
      <xdr:rowOff>76200</xdr:rowOff>
    </xdr:from>
    <xdr:to>
      <xdr:col>8</xdr:col>
      <xdr:colOff>285750</xdr:colOff>
      <xdr:row>44</xdr:row>
      <xdr:rowOff>38100</xdr:rowOff>
    </xdr:to>
    <xdr:graphicFrame macro="">
      <xdr:nvGraphicFramePr>
        <xdr:cNvPr id="115384" name="Chart 1">
          <a:extLst>
            <a:ext uri="{FF2B5EF4-FFF2-40B4-BE49-F238E27FC236}">
              <a16:creationId xmlns:a16="http://schemas.microsoft.com/office/drawing/2014/main" id="{00000000-0008-0000-0F00-0000B8C20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mit\Risk%20File\XLRisk%20-%20610\Excel%20Master\File%20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aserver\D-Drive\Amit%20Data\Risk%20File\XLRisk%20-%20610\Excel%20Master\1File%202%20-%20Copy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xyz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ivot"/>
      <sheetName val="Data"/>
      <sheetName val="Sheet2"/>
      <sheetName val="Sheet3"/>
    </sheetNames>
    <sheetDataSet>
      <sheetData sheetId="0" refreshError="1"/>
      <sheetData sheetId="1" refreshError="1">
        <row r="5291">
          <cell r="A5291">
            <v>39479</v>
          </cell>
        </row>
      </sheetData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">
          <cell r="A1">
            <v>1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3">
          <cell r="A3">
            <v>3</v>
          </cell>
        </row>
      </sheetData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xyz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shan" refreshedDate="41604.621613078707" createdVersion="1" refreshedVersion="4" recordCount="21" upgradeOnRefresh="1" xr:uid="{00000000-000A-0000-FFFF-FFFF00000000}">
  <cacheSource type="worksheet">
    <worksheetSource ref="A1:G22" sheet="SQL Queries"/>
  </cacheSource>
  <cacheFields count="7">
    <cacheField name="USERID" numFmtId="0">
      <sharedItems containsSemiMixedTypes="0" containsString="0" containsNumber="1" containsInteger="1" minValue="1" maxValue="21" count="2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</sharedItems>
    </cacheField>
    <cacheField name="USERNAME" numFmtId="0">
      <sharedItems count="21">
        <s v="Admin"/>
        <s v="mrunal"/>
        <s v="b'wiliam09"/>
        <s v="margi"/>
        <s v="amit"/>
        <s v="darshan"/>
        <s v="mohtasim"/>
        <s v="dhavalPanchanl"/>
        <s v="d.patel"/>
        <s v="tjxtest"/>
        <s v="lakshmi"/>
        <s v="nilesh"/>
        <s v="AJAY"/>
        <s v="AJAYT"/>
        <s v="ANAND"/>
        <s v="CIM4"/>
        <s v="LILA"/>
        <s v="PARTH"/>
        <s v="SUBHASH"/>
        <s v="VIRENDRA"/>
        <s v="KETAN"/>
      </sharedItems>
    </cacheField>
    <cacheField name="USERPWD" numFmtId="0">
      <sharedItems/>
    </cacheField>
    <cacheField name="USERFULLNAME" numFmtId="0">
      <sharedItems/>
    </cacheField>
    <cacheField name="USEREMAILID" numFmtId="0">
      <sharedItems/>
    </cacheField>
    <cacheField name="LASTPWDAGINGDATE" numFmtId="0">
      <sharedItems containsSemiMixedTypes="0" containsNonDate="0" containsDate="1" containsString="0" minDate="2013-05-24T17:34:32" maxDate="2013-11-22T18:23:23"/>
    </cacheField>
    <cacheField name="AGINGPERIOD" numFmtId="0">
      <sharedItems containsSemiMixedTypes="0" containsString="0" containsNumber="1" containsInteger="1" minValue="30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">
  <r>
    <x v="0"/>
    <x v="0"/>
    <s v="599551569105538588568588"/>
    <s v="Administrator"/>
    <s v="admin@csipl.com"/>
    <d v="2013-11-22T18:23:23"/>
    <n v="30"/>
  </r>
  <r>
    <x v="1"/>
    <x v="1"/>
    <s v=""/>
    <s v="Mrunal Choksi"/>
    <s v="mrunal@csipl.com"/>
    <d v="2013-05-24T17:34:32"/>
    <n v="30"/>
  </r>
  <r>
    <x v="2"/>
    <x v="2"/>
    <s v=""/>
    <s v="b'wiliam"/>
    <s v="b'wiliam@csipl.com"/>
    <d v="2013-05-24T17:34:33"/>
    <n v="30"/>
  </r>
  <r>
    <x v="3"/>
    <x v="3"/>
    <s v=""/>
    <s v="Margi"/>
    <s v="margi@csipl.com"/>
    <d v="2013-05-24T17:34:33"/>
    <n v="30"/>
  </r>
  <r>
    <x v="4"/>
    <x v="4"/>
    <s v=""/>
    <s v="Amit Trivedi"/>
    <s v="amit@csipl.com"/>
    <d v="2013-05-24T17:34:33"/>
    <n v="30"/>
  </r>
  <r>
    <x v="5"/>
    <x v="5"/>
    <s v=""/>
    <s v="Darshan Barodia"/>
    <s v="darshan@csipl.com"/>
    <d v="2013-05-24T17:34:34"/>
    <n v="30"/>
  </r>
  <r>
    <x v="6"/>
    <x v="6"/>
    <s v=""/>
    <s v="rmawala Mohtasim"/>
    <s v="mohtasim@csipl.com"/>
    <d v="2013-05-24T17:35:10"/>
    <n v="30"/>
  </r>
  <r>
    <x v="7"/>
    <x v="7"/>
    <s v=""/>
    <s v="dhaval panchal"/>
    <s v="dhaval@csipl.com"/>
    <d v="2013-05-25T10:22:14"/>
    <n v="30"/>
  </r>
  <r>
    <x v="8"/>
    <x v="8"/>
    <s v=""/>
    <s v="dpatel"/>
    <s v="d.patel@csipl.com"/>
    <d v="2013-05-25T10:26:31"/>
    <n v="30"/>
  </r>
  <r>
    <x v="9"/>
    <x v="9"/>
    <s v=""/>
    <s v="tjxtest"/>
    <s v=""/>
    <d v="2013-05-25T10:26:31"/>
    <n v="30"/>
  </r>
  <r>
    <x v="10"/>
    <x v="10"/>
    <s v=""/>
    <s v="lakshmi tharani"/>
    <s v="lakshmi@csipl.com"/>
    <d v="2013-07-15T14:22:38"/>
    <n v="30"/>
  </r>
  <r>
    <x v="11"/>
    <x v="11"/>
    <s v=""/>
    <s v="nilesh panchal"/>
    <s v="nilesh@csipl.com"/>
    <d v="2013-07-22T14:35:59"/>
    <n v="30"/>
  </r>
  <r>
    <x v="12"/>
    <x v="12"/>
    <s v=""/>
    <s v="AJAY SINGH."/>
    <s v="AJAY@CSIPL.COM"/>
    <d v="2013-09-24T13:42:08"/>
    <n v="30"/>
  </r>
  <r>
    <x v="13"/>
    <x v="13"/>
    <s v=""/>
    <s v="AJAYT"/>
    <s v="AJAYT1@CSIPL.COM"/>
    <d v="2013-09-24T12:03:04"/>
    <n v="30"/>
  </r>
  <r>
    <x v="14"/>
    <x v="14"/>
    <s v=""/>
    <s v="ANAND SHAH"/>
    <s v="ANAND@CSIPL.COM"/>
    <d v="2013-09-03T15:43:53"/>
    <n v="30"/>
  </r>
  <r>
    <x v="15"/>
    <x v="15"/>
    <s v=""/>
    <s v="CIM4"/>
    <s v="CIM4@CSIPL.COM"/>
    <d v="2013-09-04T17:45:47"/>
    <n v="30"/>
  </r>
  <r>
    <x v="16"/>
    <x v="16"/>
    <s v=""/>
    <s v="LILA DANGI."/>
    <s v="LILA@CSIPL.COM"/>
    <d v="2013-09-04T17:51:09"/>
    <n v="30"/>
  </r>
  <r>
    <x v="17"/>
    <x v="17"/>
    <s v=""/>
    <s v="PARTH TRIVEDI"/>
    <s v="PARTH@CSIPL.COM"/>
    <d v="2013-09-05T10:01:22"/>
    <n v="30"/>
  </r>
  <r>
    <x v="18"/>
    <x v="18"/>
    <s v=""/>
    <s v="SUBHASH"/>
    <s v="SUBHASH@CSIPL.COM"/>
    <d v="2013-09-05T10:07:37"/>
    <n v="30"/>
  </r>
  <r>
    <x v="19"/>
    <x v="19"/>
    <s v=""/>
    <s v="VIRENDRA YADAV"/>
    <s v="VIRENDRA@CSIPL.COM"/>
    <d v="2013-09-05T10:16:32"/>
    <n v="30"/>
  </r>
  <r>
    <x v="20"/>
    <x v="20"/>
    <s v=""/>
    <s v="KETAN"/>
    <s v="KETAN@CSIPL.COM"/>
    <d v="2013-09-05T10:18:17"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PivotTable1" cacheId="0" dataOnRows="1" applyNumberFormats="0" applyBorderFormats="0" applyFontFormats="0" applyPatternFormats="0" applyAlignmentFormats="0" applyWidthHeightFormats="1" dataCaption="Data" updatedVersion="4" showItems="0" showMultipleLabel="0" showMemberPropertyTips="0" useAutoFormatting="1" itemPrintTitles="1" showDropZones="0" indent="0" compact="0" compactData="0" gridDropZones="1">
  <location ref="A1:W24" firstHeaderRow="1" firstDataRow="2" firstDataCol="1"/>
  <pivotFields count="7">
    <pivotField axis="axisCol" compact="0" outline="0" subtotalTop="0" showAll="0" includeNewItemsInFilter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Row" dataField="1" compact="0" outline="0" subtotalTop="0" showAll="0" includeNewItemsInFilter="1">
      <items count="22">
        <item x="0"/>
        <item x="12"/>
        <item x="13"/>
        <item x="4"/>
        <item x="14"/>
        <item x="2"/>
        <item x="15"/>
        <item x="8"/>
        <item x="5"/>
        <item x="7"/>
        <item x="20"/>
        <item x="10"/>
        <item x="16"/>
        <item x="3"/>
        <item x="6"/>
        <item x="1"/>
        <item x="11"/>
        <item x="17"/>
        <item x="18"/>
        <item x="9"/>
        <item x="19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2" outline="0" subtotalTop="0" showAll="0" includeNewItemsInFilter="1"/>
    <pivotField compact="0" outline="0" subtotalTop="0" showAll="0" includeNewItemsInFilter="1"/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0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Count of USERNAME" fld="1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XL-Dictator" connectionId="6" xr16:uid="{00000000-0016-0000-05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_Darshan" connectionId="1" xr16:uid="{00000000-0016-0000-0B00-000001000000}" autoFormatId="16" applyNumberFormats="0" applyBorderFormats="0" applyFontFormats="0" applyPatternFormats="0" applyAlignmentFormats="0" applyWidthHeightFormats="0">
  <queryTableRefresh nextId="37">
    <queryTableFields count="36">
      <queryTableField id="1" name="MailingListID" tableColumnId="1"/>
      <queryTableField id="2" name="Prefix" tableColumnId="2"/>
      <queryTableField id="3" name="FirstName" tableColumnId="3"/>
      <queryTableField id="4" name="MiddleName" tableColumnId="4"/>
      <queryTableField id="5" name="LastName" tableColumnId="5"/>
      <queryTableField id="6" name="Suffix" tableColumnId="6"/>
      <queryTableField id="7" name="Nickname" tableColumnId="7"/>
      <queryTableField id="8" name="Title" tableColumnId="8"/>
      <queryTableField id="9" name="OrganizationName" tableColumnId="9"/>
      <queryTableField id="10" name="Address" tableColumnId="10"/>
      <queryTableField id="11" name="City" tableColumnId="11"/>
      <queryTableField id="12" name="State" tableColumnId="12"/>
      <queryTableField id="13" name="Region" tableColumnId="13"/>
      <queryTableField id="14" name="PostalCode" tableColumnId="14"/>
      <queryTableField id="15" name="Country/Region" tableColumnId="15"/>
      <queryTableField id="16" name="HomePhone" tableColumnId="16"/>
      <queryTableField id="17" name="WorkPhone" tableColumnId="17"/>
      <queryTableField id="18" name="MobilePhone" tableColumnId="18"/>
      <queryTableField id="19" name="FaxNumber" tableColumnId="19"/>
      <queryTableField id="20" name="AlternativePhone" tableColumnId="20"/>
      <queryTableField id="21" name="EmailAddress" tableColumnId="21"/>
      <queryTableField id="22" name="CompuServeID" tableColumnId="22"/>
      <queryTableField id="23" name="Birthdate" tableColumnId="23"/>
      <queryTableField id="24" name="Nationality" tableColumnId="24"/>
      <queryTableField id="25" name="EmrgcyContactName" tableColumnId="25"/>
      <queryTableField id="26" name="EmrgcyContactPhone" tableColumnId="26"/>
      <queryTableField id="27" name="DateUpdated" tableColumnId="27"/>
      <queryTableField id="28" name="MembershipStatus" tableColumnId="28"/>
      <queryTableField id="29" name="DateJoined" tableColumnId="29"/>
      <queryTableField id="30" name="PledgeAmount" tableColumnId="30"/>
      <queryTableField id="31" name="PledgePaidDate" tableColumnId="31"/>
      <queryTableField id="32" name="DuesAmount" tableColumnId="32"/>
      <queryTableField id="33" name="DuesPaidDate" tableColumnId="33"/>
      <queryTableField id="34" name="Hobbies" tableColumnId="34"/>
      <queryTableField id="35" name="HealthIssues" tableColumnId="35"/>
      <queryTableField id="36" name="Notes" tableColumnId="3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08 XLRISK600REL USER_MASTER" connectionId="5" xr16:uid="{00000000-0016-0000-0C00-000002000000}" autoFormatId="16" applyNumberFormats="0" applyBorderFormats="0" applyFontFormats="0" applyPatternFormats="0" applyAlignmentFormats="0" applyWidthHeightFormats="0">
  <queryTableRefresh nextId="23">
    <queryTableFields count="22">
      <queryTableField id="1" name="USERID" tableColumnId="1"/>
      <queryTableField id="2" name="USERNAME" tableColumnId="2"/>
      <queryTableField id="3" name="USERPWD" tableColumnId="3"/>
      <queryTableField id="4" name="USERFULLNAME" tableColumnId="4"/>
      <queryTableField id="5" name="USEREMAILID" tableColumnId="5"/>
      <queryTableField id="6" name="LASTPWDAGINGDATE" tableColumnId="6"/>
      <queryTableField id="7" name="AGINGPERIOD" tableColumnId="7"/>
      <queryTableField id="8" name="ACCOUNTSTATUS" tableColumnId="8"/>
      <queryTableField id="9" name="DISABLEUPTODATE" tableColumnId="9"/>
      <queryTableField id="10" name="DISABLEREASON" tableColumnId="10"/>
      <queryTableField id="11" name="LASTLOGINTIME" tableColumnId="11"/>
      <queryTableField id="12" name="LASTLOGOUTTIME" tableColumnId="12"/>
      <queryTableField id="13" name="SESSIONNUMBER" tableColumnId="13"/>
      <queryTableField id="14" name="SESSIONTIME" tableColumnId="14"/>
      <queryTableField id="15" name="MAXFAILUREATTEMPT" tableColumnId="15"/>
      <queryTableField id="16" name="DISABLEPERIODFORFAILURE" tableColumnId="16"/>
      <queryTableField id="17" name="FAILURENOTIFICATIONTO" tableColumnId="17"/>
      <queryTableField id="18" name="FAILURECOUNTFORNOTIFICATION" tableColumnId="18"/>
      <queryTableField id="19" name="LASTNOTIFICATIONTIME" tableColumnId="19"/>
      <queryTableField id="20" name="USERTYPE" tableColumnId="20"/>
      <queryTableField id="21" name="DELETESTATUS" tableColumnId="21"/>
      <queryTableField id="22" name="DomainID" tableColumnId="2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odayTaskDetail" connectionId="2" xr16:uid="{00000000-0016-0000-0D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P Fidelity" connectionId="3" xr16:uid="{00000000-0016-0000-0E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44CCD0E2-7F21-46C0-A4BE-8E148179C9B1}" autoFormatId="16" applyNumberFormats="0" applyBorderFormats="0" applyFontFormats="0" applyPatternFormats="0" applyAlignmentFormats="0" applyWidthHeightFormats="0">
  <queryTableRefresh nextId="6">
    <queryTableFields count="5">
      <queryTableField id="1" name="PARAMNAME" tableColumnId="1"/>
      <queryTableField id="2" name="PARAMDESC" tableColumnId="2"/>
      <queryTableField id="3" name="TEXTVALUE" tableColumnId="3"/>
      <queryTableField id="4" name="DATEVALUE" tableColumnId="4"/>
      <queryTableField id="5" name="NUMBERVALU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_2_Darshan" displayName="Table__2_Darshan" ref="A1:AJ3" tableType="queryTable" totalsRowShown="0">
  <autoFilter ref="A1:AJ3" xr:uid="{00000000-0009-0000-0100-000001000000}"/>
  <tableColumns count="36">
    <tableColumn id="1" xr3:uid="{00000000-0010-0000-0000-000001000000}" uniqueName="1" name="MailingListID" queryTableFieldId="1"/>
    <tableColumn id="2" xr3:uid="{00000000-0010-0000-0000-000002000000}" uniqueName="2" name="Prefix" queryTableFieldId="2"/>
    <tableColumn id="3" xr3:uid="{00000000-0010-0000-0000-000003000000}" uniqueName="3" name="FirstName" queryTableFieldId="3"/>
    <tableColumn id="4" xr3:uid="{00000000-0010-0000-0000-000004000000}" uniqueName="4" name="MiddleName" queryTableFieldId="4"/>
    <tableColumn id="5" xr3:uid="{00000000-0010-0000-0000-000005000000}" uniqueName="5" name="LastName" queryTableFieldId="5"/>
    <tableColumn id="6" xr3:uid="{00000000-0010-0000-0000-000006000000}" uniqueName="6" name="Suffix" queryTableFieldId="6"/>
    <tableColumn id="7" xr3:uid="{00000000-0010-0000-0000-000007000000}" uniqueName="7" name="Nickname" queryTableFieldId="7"/>
    <tableColumn id="8" xr3:uid="{00000000-0010-0000-0000-000008000000}" uniqueName="8" name="Title" queryTableFieldId="8"/>
    <tableColumn id="9" xr3:uid="{00000000-0010-0000-0000-000009000000}" uniqueName="9" name="OrganizationName" queryTableFieldId="9"/>
    <tableColumn id="10" xr3:uid="{00000000-0010-0000-0000-00000A000000}" uniqueName="10" name="Address" queryTableFieldId="10"/>
    <tableColumn id="11" xr3:uid="{00000000-0010-0000-0000-00000B000000}" uniqueName="11" name="City" queryTableFieldId="11"/>
    <tableColumn id="12" xr3:uid="{00000000-0010-0000-0000-00000C000000}" uniqueName="12" name="State" queryTableFieldId="12"/>
    <tableColumn id="13" xr3:uid="{00000000-0010-0000-0000-00000D000000}" uniqueName="13" name="Region" queryTableFieldId="13"/>
    <tableColumn id="14" xr3:uid="{00000000-0010-0000-0000-00000E000000}" uniqueName="14" name="PostalCode" queryTableFieldId="14"/>
    <tableColumn id="15" xr3:uid="{00000000-0010-0000-0000-00000F000000}" uniqueName="15" name="Country/Region" queryTableFieldId="15"/>
    <tableColumn id="16" xr3:uid="{00000000-0010-0000-0000-000010000000}" uniqueName="16" name="HomePhone" queryTableFieldId="16"/>
    <tableColumn id="17" xr3:uid="{00000000-0010-0000-0000-000011000000}" uniqueName="17" name="WorkPhone" queryTableFieldId="17"/>
    <tableColumn id="18" xr3:uid="{00000000-0010-0000-0000-000012000000}" uniqueName="18" name="MobilePhone" queryTableFieldId="18"/>
    <tableColumn id="19" xr3:uid="{00000000-0010-0000-0000-000013000000}" uniqueName="19" name="FaxNumber" queryTableFieldId="19"/>
    <tableColumn id="20" xr3:uid="{00000000-0010-0000-0000-000014000000}" uniqueName="20" name="AlternativePhone" queryTableFieldId="20"/>
    <tableColumn id="21" xr3:uid="{00000000-0010-0000-0000-000015000000}" uniqueName="21" name="EmailAddress" queryTableFieldId="21"/>
    <tableColumn id="22" xr3:uid="{00000000-0010-0000-0000-000016000000}" uniqueName="22" name="CompuServeID" queryTableFieldId="22"/>
    <tableColumn id="23" xr3:uid="{00000000-0010-0000-0000-000017000000}" uniqueName="23" name="Birthdate" queryTableFieldId="23" dataDxfId="16"/>
    <tableColumn id="24" xr3:uid="{00000000-0010-0000-0000-000018000000}" uniqueName="24" name="Nationality" queryTableFieldId="24"/>
    <tableColumn id="25" xr3:uid="{00000000-0010-0000-0000-000019000000}" uniqueName="25" name="EmrgcyContactName" queryTableFieldId="25"/>
    <tableColumn id="26" xr3:uid="{00000000-0010-0000-0000-00001A000000}" uniqueName="26" name="EmrgcyContactPhone" queryTableFieldId="26"/>
    <tableColumn id="27" xr3:uid="{00000000-0010-0000-0000-00001B000000}" uniqueName="27" name="DateUpdated" queryTableFieldId="27" dataDxfId="15"/>
    <tableColumn id="28" xr3:uid="{00000000-0010-0000-0000-00001C000000}" uniqueName="28" name="MembershipStatus" queryTableFieldId="28"/>
    <tableColumn id="29" xr3:uid="{00000000-0010-0000-0000-00001D000000}" uniqueName="29" name="DateJoined" queryTableFieldId="29" dataDxfId="14"/>
    <tableColumn id="30" xr3:uid="{00000000-0010-0000-0000-00001E000000}" uniqueName="30" name="PledgeAmount" queryTableFieldId="30"/>
    <tableColumn id="31" xr3:uid="{00000000-0010-0000-0000-00001F000000}" uniqueName="31" name="PledgePaidDate" queryTableFieldId="31" dataDxfId="13"/>
    <tableColumn id="32" xr3:uid="{00000000-0010-0000-0000-000020000000}" uniqueName="32" name="DuesAmount" queryTableFieldId="32"/>
    <tableColumn id="33" xr3:uid="{00000000-0010-0000-0000-000021000000}" uniqueName="33" name="DuesPaidDate" queryTableFieldId="33" dataDxfId="12"/>
    <tableColumn id="34" xr3:uid="{00000000-0010-0000-0000-000022000000}" uniqueName="34" name="Hobbies" queryTableFieldId="34"/>
    <tableColumn id="35" xr3:uid="{00000000-0010-0000-0000-000023000000}" uniqueName="35" name="HealthIssues" queryTableFieldId="35"/>
    <tableColumn id="36" xr3:uid="{00000000-0010-0000-0000-000024000000}" uniqueName="36" name="Notes" queryTableFieldId="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Sql2008_XLRISK600REL_USER_MASTER" displayName="Table_Sql2008_XLRISK600REL_USER_MASTER" ref="A1:V44" tableType="queryTable" totalsRowShown="0">
  <autoFilter ref="A1:V44" xr:uid="{00000000-0009-0000-0100-000002000000}"/>
  <tableColumns count="22">
    <tableColumn id="1" xr3:uid="{00000000-0010-0000-0100-000001000000}" uniqueName="1" name="USERID" queryTableFieldId="1"/>
    <tableColumn id="2" xr3:uid="{00000000-0010-0000-0100-000002000000}" uniqueName="2" name="USERNAME" queryTableFieldId="2"/>
    <tableColumn id="3" xr3:uid="{00000000-0010-0000-0100-000003000000}" uniqueName="3" name="USERPWD" queryTableFieldId="3"/>
    <tableColumn id="4" xr3:uid="{00000000-0010-0000-0100-000004000000}" uniqueName="4" name="USERFULLNAME" queryTableFieldId="4"/>
    <tableColumn id="5" xr3:uid="{00000000-0010-0000-0100-000005000000}" uniqueName="5" name="USEREMAILID" queryTableFieldId="5"/>
    <tableColumn id="6" xr3:uid="{00000000-0010-0000-0100-000006000000}" uniqueName="6" name="LASTPWDAGINGDATE" queryTableFieldId="6" dataDxfId="11"/>
    <tableColumn id="7" xr3:uid="{00000000-0010-0000-0100-000007000000}" uniqueName="7" name="AGINGPERIOD" queryTableFieldId="7"/>
    <tableColumn id="8" xr3:uid="{00000000-0010-0000-0100-000008000000}" uniqueName="8" name="ACCOUNTSTATUS" queryTableFieldId="8"/>
    <tableColumn id="9" xr3:uid="{00000000-0010-0000-0100-000009000000}" uniqueName="9" name="DISABLEUPTODATE" queryTableFieldId="9" dataDxfId="10"/>
    <tableColumn id="10" xr3:uid="{00000000-0010-0000-0100-00000A000000}" uniqueName="10" name="DISABLEREASON" queryTableFieldId="10"/>
    <tableColumn id="11" xr3:uid="{00000000-0010-0000-0100-00000B000000}" uniqueName="11" name="LASTLOGINTIME" queryTableFieldId="11" dataDxfId="9"/>
    <tableColumn id="12" xr3:uid="{00000000-0010-0000-0100-00000C000000}" uniqueName="12" name="LASTLOGOUTTIME" queryTableFieldId="12" dataDxfId="8"/>
    <tableColumn id="13" xr3:uid="{00000000-0010-0000-0100-00000D000000}" uniqueName="13" name="SESSIONNUMBER" queryTableFieldId="13"/>
    <tableColumn id="14" xr3:uid="{00000000-0010-0000-0100-00000E000000}" uniqueName="14" name="SESSIONTIME" queryTableFieldId="14" dataDxfId="7"/>
    <tableColumn id="15" xr3:uid="{00000000-0010-0000-0100-00000F000000}" uniqueName="15" name="MAXFAILUREATTEMPT" queryTableFieldId="15"/>
    <tableColumn id="16" xr3:uid="{00000000-0010-0000-0100-000010000000}" uniqueName="16" name="DISABLEPERIODFORFAILURE" queryTableFieldId="16"/>
    <tableColumn id="17" xr3:uid="{00000000-0010-0000-0100-000011000000}" uniqueName="17" name="FAILURENOTIFICATIONTO" queryTableFieldId="17"/>
    <tableColumn id="18" xr3:uid="{00000000-0010-0000-0100-000012000000}" uniqueName="18" name="FAILURECOUNTFORNOTIFICATION" queryTableFieldId="18"/>
    <tableColumn id="19" xr3:uid="{00000000-0010-0000-0100-000013000000}" uniqueName="19" name="LASTNOTIFICATIONTIME" queryTableFieldId="19" dataDxfId="6"/>
    <tableColumn id="20" xr3:uid="{00000000-0010-0000-0100-000014000000}" uniqueName="20" name="USERTYPE" queryTableFieldId="20"/>
    <tableColumn id="21" xr3:uid="{00000000-0010-0000-0100-000015000000}" uniqueName="21" name="DELETESTATUS" queryTableFieldId="21"/>
    <tableColumn id="22" xr3:uid="{00000000-0010-0000-0100-000016000000}" uniqueName="22" name="DomainID" queryTableField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7588E9A-2BB1-42F5-84AE-DE288EEF117E}" name="PARAMETER_TABLE" displayName="PARAMETER_TABLE" ref="A1:E522" tableType="queryTable" totalsRowShown="0">
  <autoFilter ref="A1:E522" xr:uid="{57588E9A-2BB1-42F5-84AE-DE288EEF117E}"/>
  <tableColumns count="5">
    <tableColumn id="1" xr3:uid="{CD9B9417-6EDC-4F9F-9AF3-4F764A0EE018}" uniqueName="1" name="PARAMNAME" queryTableFieldId="1" dataDxfId="3"/>
    <tableColumn id="2" xr3:uid="{144DB9D8-8F80-49BA-BBD1-980074BA14C1}" uniqueName="2" name="PARAMDESC" queryTableFieldId="2" dataDxfId="2"/>
    <tableColumn id="3" xr3:uid="{62CFA66E-AB08-4A00-A774-FD7DD78E0D82}" uniqueName="3" name="TEXTVALUE" queryTableFieldId="3" dataDxfId="1"/>
    <tableColumn id="4" xr3:uid="{B1A900D3-340C-4B3F-9A10-9797BE89FF1F}" uniqueName="4" name="DATEVALUE" queryTableFieldId="4" dataDxfId="0"/>
    <tableColumn id="5" xr3:uid="{AD274A2D-8BA9-4FA6-AFC4-B169E49A577A}" uniqueName="5" name="NUMBERVALUE" queryTableField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abc@123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7"/>
  <sheetViews>
    <sheetView workbookViewId="0">
      <selection activeCell="H13" sqref="H13"/>
    </sheetView>
  </sheetViews>
  <sheetFormatPr defaultRowHeight="15" x14ac:dyDescent="0.25"/>
  <cols>
    <col min="1" max="1" width="37.5703125" bestFit="1" customWidth="1"/>
    <col min="2" max="2" width="7.42578125" customWidth="1"/>
    <col min="3" max="3" width="12" bestFit="1" customWidth="1"/>
    <col min="5" max="5" width="9.7109375" bestFit="1" customWidth="1"/>
    <col min="6" max="6" width="22.42578125" bestFit="1" customWidth="1"/>
    <col min="12" max="12" width="48.140625" bestFit="1" customWidth="1"/>
  </cols>
  <sheetData>
    <row r="1" spans="1:15" x14ac:dyDescent="0.25">
      <c r="A1">
        <v>1</v>
      </c>
      <c r="B1">
        <v>1</v>
      </c>
      <c r="C1">
        <v>1</v>
      </c>
      <c r="D1">
        <v>4</v>
      </c>
      <c r="E1">
        <v>1</v>
      </c>
      <c r="M1" s="22"/>
      <c r="N1" s="23"/>
      <c r="O1" s="24"/>
    </row>
    <row r="2" spans="1:15" x14ac:dyDescent="0.25">
      <c r="A2">
        <v>2</v>
      </c>
      <c r="B2">
        <v>2</v>
      </c>
      <c r="C2">
        <v>4</v>
      </c>
      <c r="D2">
        <v>2</v>
      </c>
      <c r="E2" t="s">
        <v>7</v>
      </c>
      <c r="M2" s="22"/>
      <c r="N2" s="23"/>
      <c r="O2" s="24"/>
    </row>
    <row r="3" spans="1:15" x14ac:dyDescent="0.25">
      <c r="A3">
        <f>SUM(A1:A2)</f>
        <v>3</v>
      </c>
      <c r="B3">
        <f>AVERAGE(B1:B2)</f>
        <v>1.5</v>
      </c>
      <c r="C3">
        <f>SUM(C1:C2)</f>
        <v>5</v>
      </c>
      <c r="D3">
        <f>AVERAGE(D1:D2)</f>
        <v>3</v>
      </c>
      <c r="E3">
        <f>SUM(E1:E2)</f>
        <v>1</v>
      </c>
      <c r="F3" t="s">
        <v>216</v>
      </c>
      <c r="K3" t="s">
        <v>309</v>
      </c>
      <c r="L3">
        <v>10</v>
      </c>
      <c r="M3" s="22"/>
      <c r="N3" s="23"/>
      <c r="O3" s="24"/>
    </row>
    <row r="4" spans="1:15" x14ac:dyDescent="0.25">
      <c r="K4" t="s">
        <v>308</v>
      </c>
      <c r="L4">
        <f>L3+5</f>
        <v>15</v>
      </c>
      <c r="M4" s="22"/>
      <c r="N4" s="23"/>
      <c r="O4" s="24"/>
    </row>
    <row r="5" spans="1:15" x14ac:dyDescent="0.25">
      <c r="K5">
        <v>300</v>
      </c>
      <c r="L5">
        <f t="shared" ref="L5:L24" si="0">L4+5</f>
        <v>20</v>
      </c>
      <c r="M5" s="22"/>
      <c r="N5" s="23"/>
      <c r="O5" s="24" t="s">
        <v>72</v>
      </c>
    </row>
    <row r="6" spans="1:15" x14ac:dyDescent="0.25">
      <c r="A6">
        <v>88</v>
      </c>
      <c r="B6">
        <v>5</v>
      </c>
      <c r="C6">
        <v>56</v>
      </c>
      <c r="D6">
        <v>30</v>
      </c>
      <c r="E6">
        <v>40</v>
      </c>
      <c r="F6">
        <v>50</v>
      </c>
      <c r="G6">
        <v>20</v>
      </c>
      <c r="H6">
        <v>10</v>
      </c>
      <c r="L6">
        <f t="shared" si="0"/>
        <v>25</v>
      </c>
      <c r="M6" s="22"/>
      <c r="N6" s="23"/>
      <c r="O6" s="24"/>
    </row>
    <row r="7" spans="1:15" x14ac:dyDescent="0.25">
      <c r="K7">
        <f>SUM(A6:H6)</f>
        <v>299</v>
      </c>
      <c r="L7">
        <f t="shared" si="0"/>
        <v>30</v>
      </c>
      <c r="M7" s="22"/>
      <c r="N7" s="23"/>
      <c r="O7" s="24"/>
    </row>
    <row r="8" spans="1:15" x14ac:dyDescent="0.25">
      <c r="A8" t="s">
        <v>212</v>
      </c>
      <c r="C8">
        <f>SUM(A3:D3)</f>
        <v>12.5</v>
      </c>
      <c r="L8">
        <f t="shared" si="0"/>
        <v>35</v>
      </c>
      <c r="M8" s="22"/>
      <c r="N8" s="23"/>
      <c r="O8" s="24"/>
    </row>
    <row r="9" spans="1:15" x14ac:dyDescent="0.25">
      <c r="L9">
        <f t="shared" si="0"/>
        <v>40</v>
      </c>
      <c r="M9" s="22"/>
      <c r="N9" s="23"/>
      <c r="O9" s="24"/>
    </row>
    <row r="10" spans="1:15" x14ac:dyDescent="0.25">
      <c r="A10" t="s">
        <v>213</v>
      </c>
      <c r="D10" s="5">
        <f>SUM(A2:D2)</f>
        <v>10</v>
      </c>
      <c r="L10">
        <f t="shared" si="0"/>
        <v>45</v>
      </c>
      <c r="M10" s="22"/>
      <c r="N10" s="23"/>
      <c r="O10" s="24"/>
    </row>
    <row r="11" spans="1:15" x14ac:dyDescent="0.25">
      <c r="G11">
        <f>SUM(23)</f>
        <v>23</v>
      </c>
      <c r="L11">
        <f t="shared" si="0"/>
        <v>50</v>
      </c>
      <c r="M11" s="22"/>
      <c r="N11" s="23"/>
      <c r="O11" s="24" t="s">
        <v>72</v>
      </c>
    </row>
    <row r="12" spans="1:15" x14ac:dyDescent="0.25">
      <c r="A12" t="s">
        <v>214</v>
      </c>
      <c r="D12" s="5">
        <f>SUM(D10,C8)+1000</f>
        <v>1022.5</v>
      </c>
      <c r="G12" t="s">
        <v>320</v>
      </c>
      <c r="H12" t="e" cm="1">
        <f t="array" aca="1" ref="H12" ca="1">H13Sum(G6:H6)</f>
        <v>#NAME?</v>
      </c>
      <c r="L12">
        <f t="shared" si="0"/>
        <v>55</v>
      </c>
      <c r="M12" s="22"/>
      <c r="N12" s="23"/>
      <c r="O12" s="24"/>
    </row>
    <row r="13" spans="1:15" x14ac:dyDescent="0.25">
      <c r="K13">
        <v>1</v>
      </c>
      <c r="L13">
        <f t="shared" si="0"/>
        <v>60</v>
      </c>
      <c r="M13" s="22"/>
      <c r="N13" s="23"/>
      <c r="O13" s="24" t="s">
        <v>72</v>
      </c>
    </row>
    <row r="14" spans="1:15" x14ac:dyDescent="0.25">
      <c r="A14" t="s">
        <v>215</v>
      </c>
      <c r="D14" s="5">
        <f>D12+D10+D8</f>
        <v>1032.5</v>
      </c>
      <c r="K14">
        <v>2</v>
      </c>
      <c r="L14">
        <f t="shared" si="0"/>
        <v>65</v>
      </c>
      <c r="M14" s="22"/>
      <c r="N14" s="23"/>
      <c r="O14" s="24" t="s">
        <v>72</v>
      </c>
    </row>
    <row r="15" spans="1:15" x14ac:dyDescent="0.25">
      <c r="D15" t="e">
        <f>AVERAGE(B15:C15)</f>
        <v>#DIV/0!</v>
      </c>
      <c r="F15">
        <f>SUM(C1:C3)+50</f>
        <v>60</v>
      </c>
      <c r="K15">
        <f>SUM(K13:K14)</f>
        <v>3</v>
      </c>
      <c r="L15">
        <f t="shared" si="0"/>
        <v>70</v>
      </c>
      <c r="M15" s="22"/>
      <c r="N15" s="23"/>
      <c r="O15" s="24" t="s">
        <v>72</v>
      </c>
    </row>
    <row r="16" spans="1:15" x14ac:dyDescent="0.25">
      <c r="L16">
        <f t="shared" si="0"/>
        <v>75</v>
      </c>
      <c r="M16" s="22"/>
      <c r="N16" s="23"/>
      <c r="O16" s="24"/>
    </row>
    <row r="17" spans="1:15" x14ac:dyDescent="0.25">
      <c r="A17" t="s">
        <v>217</v>
      </c>
      <c r="D17">
        <f>SUM(D18:D24)</f>
        <v>35</v>
      </c>
      <c r="L17">
        <f t="shared" si="0"/>
        <v>80</v>
      </c>
      <c r="M17" s="22"/>
      <c r="N17" s="23"/>
      <c r="O17" s="24" t="s">
        <v>72</v>
      </c>
    </row>
    <row r="18" spans="1:15" x14ac:dyDescent="0.25">
      <c r="D18">
        <v>1</v>
      </c>
      <c r="H18">
        <v>11112</v>
      </c>
      <c r="L18">
        <f t="shared" si="0"/>
        <v>85</v>
      </c>
      <c r="O18" s="24"/>
    </row>
    <row r="19" spans="1:15" x14ac:dyDescent="0.25">
      <c r="C19">
        <v>10</v>
      </c>
      <c r="D19">
        <v>2</v>
      </c>
      <c r="K19">
        <v>1</v>
      </c>
      <c r="L19">
        <f t="shared" si="0"/>
        <v>90</v>
      </c>
      <c r="O19" s="24"/>
    </row>
    <row r="20" spans="1:15" x14ac:dyDescent="0.25">
      <c r="D20">
        <v>3</v>
      </c>
      <c r="K20">
        <v>2</v>
      </c>
      <c r="L20">
        <f t="shared" si="0"/>
        <v>95</v>
      </c>
      <c r="O20" s="24"/>
    </row>
    <row r="21" spans="1:15" hidden="1" x14ac:dyDescent="0.25">
      <c r="A21" t="s">
        <v>218</v>
      </c>
      <c r="D21">
        <f>'Hidden Row'!A15</f>
        <v>11</v>
      </c>
      <c r="I21">
        <v>1</v>
      </c>
      <c r="K21">
        <f>SUM(K19:K20)</f>
        <v>3</v>
      </c>
      <c r="L21">
        <f t="shared" si="0"/>
        <v>100</v>
      </c>
      <c r="O21" s="24"/>
    </row>
    <row r="22" spans="1:15" x14ac:dyDescent="0.25">
      <c r="D22">
        <v>5</v>
      </c>
      <c r="I22">
        <v>2</v>
      </c>
      <c r="K22">
        <f>SUM(I22:J22)</f>
        <v>2</v>
      </c>
      <c r="L22">
        <f t="shared" si="0"/>
        <v>105</v>
      </c>
      <c r="O22" s="24"/>
    </row>
    <row r="23" spans="1:15" x14ac:dyDescent="0.25">
      <c r="D23">
        <v>6</v>
      </c>
      <c r="I23">
        <f>SUM(I21:I22)</f>
        <v>3</v>
      </c>
      <c r="L23">
        <f t="shared" si="0"/>
        <v>110</v>
      </c>
      <c r="O23" s="24"/>
    </row>
    <row r="24" spans="1:15" x14ac:dyDescent="0.25">
      <c r="D24">
        <v>7</v>
      </c>
      <c r="G24">
        <v>1</v>
      </c>
      <c r="I24">
        <f>SUM(D24:H24)</f>
        <v>8</v>
      </c>
      <c r="L24">
        <f t="shared" si="0"/>
        <v>115</v>
      </c>
      <c r="O24" s="24" t="s">
        <v>72</v>
      </c>
    </row>
    <row r="25" spans="1:15" x14ac:dyDescent="0.25">
      <c r="D25">
        <f>SUM(D17:D24)</f>
        <v>70</v>
      </c>
      <c r="G25">
        <v>2</v>
      </c>
      <c r="O25" s="24" t="s">
        <v>72</v>
      </c>
    </row>
    <row r="26" spans="1:15" x14ac:dyDescent="0.25">
      <c r="G26">
        <f>SUM(G24:G25)</f>
        <v>3</v>
      </c>
      <c r="O26" s="24" t="s">
        <v>72</v>
      </c>
    </row>
    <row r="27" spans="1:15" x14ac:dyDescent="0.25">
      <c r="O27" s="24" t="s">
        <v>72</v>
      </c>
    </row>
    <row r="28" spans="1:15" x14ac:dyDescent="0.25">
      <c r="J28">
        <v>11</v>
      </c>
      <c r="O28" s="24" t="s">
        <v>72</v>
      </c>
    </row>
    <row r="29" spans="1:15" x14ac:dyDescent="0.25">
      <c r="O29" s="24" t="s">
        <v>72</v>
      </c>
    </row>
    <row r="30" spans="1:15" x14ac:dyDescent="0.25">
      <c r="A30" t="s">
        <v>237</v>
      </c>
      <c r="B30" s="20">
        <v>1</v>
      </c>
      <c r="C30" s="20">
        <v>1</v>
      </c>
      <c r="D30" s="21">
        <v>1</v>
      </c>
      <c r="E30" s="20">
        <f>SUM(B30:D30)</f>
        <v>3</v>
      </c>
      <c r="M30" s="22"/>
      <c r="N30" s="23"/>
      <c r="O30" s="24"/>
    </row>
    <row r="31" spans="1:15" x14ac:dyDescent="0.25">
      <c r="G31" s="40" t="s">
        <v>254</v>
      </c>
      <c r="H31" s="40"/>
      <c r="I31" s="40"/>
      <c r="O31" s="24" t="s">
        <v>72</v>
      </c>
    </row>
    <row r="32" spans="1:15" x14ac:dyDescent="0.25">
      <c r="A32" t="s">
        <v>238</v>
      </c>
      <c r="B32">
        <v>15</v>
      </c>
      <c r="C32">
        <v>30</v>
      </c>
      <c r="D32">
        <v>15</v>
      </c>
      <c r="E32">
        <f>-SUM(B32:D32)</f>
        <v>-60</v>
      </c>
      <c r="M32" s="22"/>
      <c r="N32" s="23"/>
      <c r="O32" s="24"/>
    </row>
    <row r="33" spans="1:15" x14ac:dyDescent="0.25">
      <c r="A33" t="s">
        <v>239</v>
      </c>
      <c r="B33" s="40">
        <v>1</v>
      </c>
      <c r="C33" s="40"/>
      <c r="D33" s="40"/>
      <c r="E33" s="40"/>
      <c r="G33" s="40"/>
      <c r="H33" s="40"/>
      <c r="I33" s="40"/>
      <c r="J33" s="40"/>
      <c r="L33" s="41">
        <v>2</v>
      </c>
      <c r="M33" s="41"/>
      <c r="N33" s="41"/>
      <c r="O33" s="41"/>
    </row>
    <row r="34" spans="1:15" x14ac:dyDescent="0.25">
      <c r="A34" t="s">
        <v>240</v>
      </c>
    </row>
    <row r="35" spans="1:15" x14ac:dyDescent="0.25">
      <c r="A35" t="s">
        <v>241</v>
      </c>
      <c r="B35" t="str">
        <f>IF(B32&gt;15,IF(C32&gt;25,"Yes","No"),"T")</f>
        <v>T</v>
      </c>
      <c r="M35" s="22"/>
      <c r="N35" s="23"/>
      <c r="O35" s="24"/>
    </row>
    <row r="36" spans="1:15" x14ac:dyDescent="0.25">
      <c r="A36" t="s">
        <v>242</v>
      </c>
      <c r="B36">
        <v>1</v>
      </c>
      <c r="C36">
        <v>2</v>
      </c>
      <c r="D36">
        <v>3</v>
      </c>
      <c r="E36">
        <v>4</v>
      </c>
      <c r="G36">
        <f>SUM(C36:E36,,,,)</f>
        <v>9</v>
      </c>
    </row>
    <row r="37" spans="1:15" x14ac:dyDescent="0.25">
      <c r="A37" t="s">
        <v>243</v>
      </c>
      <c r="B37">
        <f>SUM(TestAudit)</f>
        <v>35</v>
      </c>
      <c r="L37" s="25"/>
      <c r="M37" s="22"/>
      <c r="N37" s="23"/>
      <c r="O37" s="24"/>
    </row>
    <row r="38" spans="1:15" x14ac:dyDescent="0.25">
      <c r="A38" t="s">
        <v>244</v>
      </c>
      <c r="B38" s="27">
        <v>1</v>
      </c>
      <c r="C38" s="27">
        <v>2</v>
      </c>
      <c r="D38" s="27">
        <v>3</v>
      </c>
      <c r="E38" s="27" t="s">
        <v>251</v>
      </c>
      <c r="F38" s="27">
        <v>6</v>
      </c>
      <c r="G38" s="27">
        <v>7</v>
      </c>
      <c r="L38" s="25"/>
      <c r="M38" s="22"/>
      <c r="N38" s="23"/>
      <c r="O38" s="24"/>
    </row>
    <row r="39" spans="1:15" x14ac:dyDescent="0.25">
      <c r="A39" t="s">
        <v>245</v>
      </c>
      <c r="B39">
        <v>1</v>
      </c>
      <c r="L39" s="26"/>
      <c r="M39" s="22"/>
      <c r="N39" s="23"/>
      <c r="O39" s="24"/>
    </row>
    <row r="40" spans="1:15" x14ac:dyDescent="0.25">
      <c r="B40">
        <v>2</v>
      </c>
      <c r="M40" s="22"/>
      <c r="N40" s="23"/>
      <c r="O40" s="24"/>
    </row>
    <row r="41" spans="1:15" x14ac:dyDescent="0.25">
      <c r="L41" s="25"/>
      <c r="M41" s="22"/>
      <c r="N41" s="23"/>
      <c r="O41" s="24"/>
    </row>
    <row r="42" spans="1:15" x14ac:dyDescent="0.25">
      <c r="B42">
        <v>3</v>
      </c>
      <c r="M42" s="22"/>
      <c r="N42" s="23"/>
      <c r="O42" s="24"/>
    </row>
    <row r="43" spans="1:15" x14ac:dyDescent="0.25">
      <c r="M43" s="22"/>
      <c r="N43" s="23"/>
      <c r="O43" s="24"/>
    </row>
    <row r="44" spans="1:15" x14ac:dyDescent="0.25">
      <c r="M44" s="22"/>
      <c r="N44" s="23"/>
      <c r="O44" s="24"/>
    </row>
    <row r="45" spans="1:15" x14ac:dyDescent="0.25">
      <c r="L45" s="26"/>
      <c r="M45" s="22"/>
      <c r="N45" s="23"/>
      <c r="O45" s="24"/>
    </row>
    <row r="46" spans="1:15" x14ac:dyDescent="0.25">
      <c r="A46" t="s">
        <v>246</v>
      </c>
      <c r="B46">
        <f ca="1">E46</f>
        <v>0</v>
      </c>
      <c r="C46">
        <f ca="1">B46</f>
        <v>0</v>
      </c>
      <c r="E46">
        <f ca="1">SUM(B46:C46)</f>
        <v>0</v>
      </c>
    </row>
    <row r="47" spans="1:15" x14ac:dyDescent="0.25">
      <c r="A47" t="s">
        <v>247</v>
      </c>
      <c r="B47" s="28">
        <f>10.5/9.5</f>
        <v>1.1052631578947369</v>
      </c>
    </row>
    <row r="48" spans="1:15" x14ac:dyDescent="0.25">
      <c r="A48" t="s">
        <v>248</v>
      </c>
      <c r="B48">
        <f>MOD(100,3)</f>
        <v>1</v>
      </c>
    </row>
    <row r="50" spans="1:12" x14ac:dyDescent="0.25">
      <c r="J50">
        <v>12345</v>
      </c>
      <c r="L50" t="s">
        <v>305</v>
      </c>
    </row>
    <row r="51" spans="1:12" x14ac:dyDescent="0.25">
      <c r="J51" t="s">
        <v>304</v>
      </c>
      <c r="L51" t="s">
        <v>306</v>
      </c>
    </row>
    <row r="53" spans="1:12" x14ac:dyDescent="0.25">
      <c r="L53" t="s">
        <v>307</v>
      </c>
    </row>
    <row r="56" spans="1:12" x14ac:dyDescent="0.25">
      <c r="A56" t="s">
        <v>250</v>
      </c>
      <c r="C56">
        <v>1</v>
      </c>
      <c r="D56">
        <v>4</v>
      </c>
      <c r="E56">
        <v>7</v>
      </c>
    </row>
    <row r="57" spans="1:12" x14ac:dyDescent="0.25">
      <c r="C57">
        <v>2</v>
      </c>
      <c r="D57">
        <v>5</v>
      </c>
      <c r="E57">
        <v>8</v>
      </c>
    </row>
    <row r="58" spans="1:12" x14ac:dyDescent="0.25">
      <c r="C58">
        <f>SUM(C56:C57)</f>
        <v>3</v>
      </c>
      <c r="D58">
        <v>6</v>
      </c>
      <c r="E58">
        <f>SUM(E56:E57)</f>
        <v>15</v>
      </c>
    </row>
    <row r="60" spans="1:12" x14ac:dyDescent="0.25">
      <c r="A60" t="s">
        <v>252</v>
      </c>
      <c r="B60" s="3">
        <f ca="1">E63</f>
        <v>45798.594781134256</v>
      </c>
      <c r="C60" s="3">
        <f>F63</f>
        <v>0</v>
      </c>
    </row>
    <row r="63" spans="1:12" x14ac:dyDescent="0.25">
      <c r="E63" s="3">
        <f ca="1">NOW()</f>
        <v>45798.594781134256</v>
      </c>
    </row>
    <row r="67" spans="1:2" x14ac:dyDescent="0.25">
      <c r="A67" t="s">
        <v>253</v>
      </c>
      <c r="B67">
        <f>SUM(C56:C58)+AVERAGE(D56:D58)+PRODUCT(E56:E58)</f>
        <v>851</v>
      </c>
    </row>
    <row r="72" spans="1:2" x14ac:dyDescent="0.25">
      <c r="A72" t="s">
        <v>298</v>
      </c>
      <c r="B72">
        <f>MEDIAN(123)</f>
        <v>123</v>
      </c>
    </row>
    <row r="74" spans="1:2" x14ac:dyDescent="0.25">
      <c r="A74" t="s">
        <v>299</v>
      </c>
      <c r="B74">
        <f>VLOOKUP(A67,A67:B67,2)</f>
        <v>851</v>
      </c>
    </row>
    <row r="76" spans="1:2" x14ac:dyDescent="0.25">
      <c r="A76" t="s">
        <v>300</v>
      </c>
      <c r="B76" t="str">
        <f>HLOOKUP(A72,A72:B72,1)</f>
        <v>Median</v>
      </c>
    </row>
    <row r="78" spans="1:2" x14ac:dyDescent="0.25">
      <c r="A78" t="s">
        <v>301</v>
      </c>
    </row>
    <row r="80" spans="1:2" x14ac:dyDescent="0.25">
      <c r="A80" t="s">
        <v>302</v>
      </c>
      <c r="B80">
        <f>SUMIF(B72:B78,(A72="Median"),B72:B78)</f>
        <v>0</v>
      </c>
    </row>
    <row r="82" spans="1:6" x14ac:dyDescent="0.25">
      <c r="A82" t="s">
        <v>303</v>
      </c>
      <c r="B82">
        <f>LOOKUP(B72,B72:B74)</f>
        <v>123</v>
      </c>
      <c r="F82" s="37" t="s">
        <v>310</v>
      </c>
    </row>
    <row r="83" spans="1:6" x14ac:dyDescent="0.25">
      <c r="F83" s="36">
        <v>347570645281761</v>
      </c>
    </row>
    <row r="84" spans="1:6" x14ac:dyDescent="0.25">
      <c r="A84" t="s">
        <v>302</v>
      </c>
      <c r="B84">
        <f>SUMIF(B76:B82,(A76="Median"),B76:B82)</f>
        <v>0</v>
      </c>
      <c r="F84" s="37" t="s">
        <v>311</v>
      </c>
    </row>
    <row r="85" spans="1:6" x14ac:dyDescent="0.25">
      <c r="F85" s="36">
        <v>36421920797384</v>
      </c>
    </row>
    <row r="86" spans="1:6" x14ac:dyDescent="0.25">
      <c r="F86" s="37" t="s">
        <v>312</v>
      </c>
    </row>
    <row r="87" spans="1:6" x14ac:dyDescent="0.25">
      <c r="F87" s="35">
        <v>30031467732102</v>
      </c>
    </row>
    <row r="88" spans="1:6" x14ac:dyDescent="0.25">
      <c r="F88" s="38" t="s">
        <v>313</v>
      </c>
    </row>
    <row r="93" spans="1:6" x14ac:dyDescent="0.25">
      <c r="C93">
        <v>377483098591939</v>
      </c>
      <c r="F93" s="39" t="s">
        <v>314</v>
      </c>
    </row>
    <row r="94" spans="1:6" x14ac:dyDescent="0.25">
      <c r="C94">
        <v>348201176705510</v>
      </c>
      <c r="F94" s="39" t="s">
        <v>315</v>
      </c>
    </row>
    <row r="95" spans="1:6" x14ac:dyDescent="0.25">
      <c r="C95">
        <v>379261048379516</v>
      </c>
      <c r="F95" s="39" t="s">
        <v>316</v>
      </c>
    </row>
    <row r="96" spans="1:6" x14ac:dyDescent="0.25">
      <c r="C96">
        <v>370829940155777</v>
      </c>
      <c r="F96" s="39" t="s">
        <v>317</v>
      </c>
    </row>
    <row r="97" spans="3:6" x14ac:dyDescent="0.25">
      <c r="C97">
        <v>347387787860124</v>
      </c>
      <c r="F97" s="39" t="s">
        <v>318</v>
      </c>
    </row>
  </sheetData>
  <mergeCells count="4">
    <mergeCell ref="B33:E33"/>
    <mergeCell ref="G33:J33"/>
    <mergeCell ref="L33:O33"/>
    <mergeCell ref="G31:I3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J18"/>
  <sheetViews>
    <sheetView workbookViewId="0">
      <selection activeCell="H6" sqref="H6"/>
    </sheetView>
  </sheetViews>
  <sheetFormatPr defaultRowHeight="15" x14ac:dyDescent="0.25"/>
  <sheetData>
    <row r="3" spans="2:9" x14ac:dyDescent="0.25">
      <c r="H3">
        <v>10</v>
      </c>
    </row>
    <row r="4" spans="2:9" x14ac:dyDescent="0.25">
      <c r="H4">
        <v>20</v>
      </c>
    </row>
    <row r="5" spans="2:9" x14ac:dyDescent="0.25">
      <c r="B5" t="s">
        <v>0</v>
      </c>
      <c r="H5">
        <f>SUM(H3:H4)</f>
        <v>30</v>
      </c>
    </row>
    <row r="6" spans="2:9" x14ac:dyDescent="0.25">
      <c r="B6" s="1">
        <v>1000</v>
      </c>
    </row>
    <row r="9" spans="2:9" x14ac:dyDescent="0.25">
      <c r="D9" s="19">
        <f>[1]Data!$A$5291</f>
        <v>39479</v>
      </c>
    </row>
    <row r="16" spans="2:9" x14ac:dyDescent="0.25">
      <c r="H16">
        <v>1020</v>
      </c>
      <c r="I16">
        <v>454</v>
      </c>
    </row>
    <row r="17" spans="8:10" x14ac:dyDescent="0.25">
      <c r="H17">
        <v>2323</v>
      </c>
      <c r="I17">
        <v>565</v>
      </c>
    </row>
    <row r="18" spans="8:10" x14ac:dyDescent="0.25">
      <c r="H18">
        <f>SUM(H16:H17)</f>
        <v>3343</v>
      </c>
      <c r="I18">
        <f>I16*5</f>
        <v>2270</v>
      </c>
      <c r="J18">
        <f>I17/2</f>
        <v>282.5</v>
      </c>
    </row>
  </sheetData>
  <pageMargins left="0.7" right="0.7" top="0.75" bottom="0.75" header="0.3" footer="0.3"/>
  <pageSetup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4:I7"/>
  <sheetViews>
    <sheetView workbookViewId="0">
      <selection activeCell="I8" sqref="I8"/>
    </sheetView>
  </sheetViews>
  <sheetFormatPr defaultRowHeight="15" x14ac:dyDescent="0.25"/>
  <sheetData>
    <row r="4" spans="3:9" x14ac:dyDescent="0.25">
      <c r="C4" t="s">
        <v>1</v>
      </c>
      <c r="D4" s="2" t="s">
        <v>2</v>
      </c>
      <c r="E4">
        <v>1</v>
      </c>
    </row>
    <row r="5" spans="3:9" x14ac:dyDescent="0.25">
      <c r="E5">
        <v>2</v>
      </c>
      <c r="I5">
        <v>10</v>
      </c>
    </row>
    <row r="6" spans="3:9" x14ac:dyDescent="0.25">
      <c r="E6" s="34">
        <f>SUM(E4:E5)</f>
        <v>3</v>
      </c>
      <c r="I6">
        <v>20</v>
      </c>
    </row>
    <row r="7" spans="3:9" x14ac:dyDescent="0.25">
      <c r="I7">
        <f>SUM(I5:I6)</f>
        <v>30</v>
      </c>
    </row>
  </sheetData>
  <hyperlinks>
    <hyperlink ref="D4" r:id="rId1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J32"/>
  <sheetViews>
    <sheetView workbookViewId="0">
      <selection activeCell="E5" sqref="E5"/>
    </sheetView>
  </sheetViews>
  <sheetFormatPr defaultRowHeight="15" x14ac:dyDescent="0.25"/>
  <sheetData>
    <row r="2" spans="1:5" x14ac:dyDescent="0.25">
      <c r="E2">
        <v>10</v>
      </c>
    </row>
    <row r="3" spans="1:5" x14ac:dyDescent="0.25">
      <c r="E3">
        <v>20</v>
      </c>
    </row>
    <row r="4" spans="1:5" x14ac:dyDescent="0.25">
      <c r="E4">
        <f>SUM(E2:E3)</f>
        <v>30</v>
      </c>
    </row>
    <row r="5" spans="1:5" x14ac:dyDescent="0.25">
      <c r="A5" t="s">
        <v>3</v>
      </c>
      <c r="B5" t="s">
        <v>4</v>
      </c>
      <c r="C5" t="s">
        <v>5</v>
      </c>
    </row>
    <row r="6" spans="1:5" x14ac:dyDescent="0.25">
      <c r="A6">
        <v>1</v>
      </c>
      <c r="B6" t="s">
        <v>6</v>
      </c>
      <c r="C6">
        <v>11</v>
      </c>
    </row>
    <row r="7" spans="1:5" x14ac:dyDescent="0.25">
      <c r="A7">
        <v>2</v>
      </c>
      <c r="B7" t="s">
        <v>7</v>
      </c>
      <c r="C7">
        <v>12</v>
      </c>
    </row>
    <row r="8" spans="1:5" x14ac:dyDescent="0.25">
      <c r="A8">
        <v>3</v>
      </c>
      <c r="B8" t="s">
        <v>8</v>
      </c>
      <c r="C8">
        <v>13</v>
      </c>
    </row>
    <row r="19" spans="10:10" x14ac:dyDescent="0.25">
      <c r="J19">
        <v>1</v>
      </c>
    </row>
    <row r="32" spans="10:10" x14ac:dyDescent="0.25">
      <c r="J32">
        <v>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5:T29"/>
  <sheetViews>
    <sheetView workbookViewId="0">
      <selection activeCell="I13" sqref="I13"/>
    </sheetView>
  </sheetViews>
  <sheetFormatPr defaultRowHeight="15" x14ac:dyDescent="0.25"/>
  <sheetData>
    <row r="5" spans="1:20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</row>
    <row r="6" spans="1:20" x14ac:dyDescent="0.25">
      <c r="A6">
        <v>2</v>
      </c>
    </row>
    <row r="7" spans="1:20" x14ac:dyDescent="0.25">
      <c r="A7">
        <v>3</v>
      </c>
    </row>
    <row r="8" spans="1:20" x14ac:dyDescent="0.25">
      <c r="A8">
        <v>4</v>
      </c>
    </row>
    <row r="9" spans="1:20" x14ac:dyDescent="0.25">
      <c r="A9">
        <v>5</v>
      </c>
    </row>
    <row r="10" spans="1:20" x14ac:dyDescent="0.25">
      <c r="A10">
        <v>6</v>
      </c>
      <c r="I10">
        <v>10</v>
      </c>
    </row>
    <row r="11" spans="1:20" x14ac:dyDescent="0.25">
      <c r="A11">
        <v>7</v>
      </c>
      <c r="I11">
        <v>20</v>
      </c>
    </row>
    <row r="12" spans="1:20" x14ac:dyDescent="0.25">
      <c r="A12">
        <v>8</v>
      </c>
      <c r="I12">
        <f>SUM(I10:I11)</f>
        <v>30</v>
      </c>
    </row>
    <row r="13" spans="1:20" x14ac:dyDescent="0.25">
      <c r="A13">
        <v>9</v>
      </c>
    </row>
    <row r="14" spans="1:20" x14ac:dyDescent="0.25">
      <c r="A14">
        <v>10</v>
      </c>
    </row>
    <row r="15" spans="1:20" hidden="1" x14ac:dyDescent="0.25">
      <c r="A15">
        <v>11</v>
      </c>
    </row>
    <row r="16" spans="1:20" x14ac:dyDescent="0.25">
      <c r="A16">
        <v>12</v>
      </c>
    </row>
    <row r="17" spans="1:1" x14ac:dyDescent="0.25">
      <c r="A17">
        <v>13</v>
      </c>
    </row>
    <row r="18" spans="1:1" x14ac:dyDescent="0.25">
      <c r="A18">
        <v>14</v>
      </c>
    </row>
    <row r="19" spans="1:1" x14ac:dyDescent="0.25">
      <c r="A19">
        <v>15</v>
      </c>
    </row>
    <row r="20" spans="1:1" x14ac:dyDescent="0.25">
      <c r="A20">
        <v>16</v>
      </c>
    </row>
    <row r="21" spans="1:1" x14ac:dyDescent="0.25">
      <c r="A21">
        <v>17</v>
      </c>
    </row>
    <row r="22" spans="1:1" x14ac:dyDescent="0.25">
      <c r="A22">
        <v>18</v>
      </c>
    </row>
    <row r="23" spans="1:1" x14ac:dyDescent="0.25">
      <c r="A23">
        <v>19</v>
      </c>
    </row>
    <row r="24" spans="1:1" x14ac:dyDescent="0.25">
      <c r="A24">
        <v>20</v>
      </c>
    </row>
    <row r="25" spans="1:1" x14ac:dyDescent="0.25">
      <c r="A25">
        <v>21</v>
      </c>
    </row>
    <row r="26" spans="1:1" x14ac:dyDescent="0.25">
      <c r="A26">
        <v>22</v>
      </c>
    </row>
    <row r="27" spans="1:1" x14ac:dyDescent="0.25">
      <c r="A27">
        <v>23</v>
      </c>
    </row>
    <row r="28" spans="1:1" x14ac:dyDescent="0.25">
      <c r="A28">
        <v>24</v>
      </c>
    </row>
    <row r="29" spans="1:1" x14ac:dyDescent="0.25">
      <c r="A29">
        <v>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C46"/>
  <sheetViews>
    <sheetView workbookViewId="0">
      <selection activeCell="A14" sqref="A14"/>
    </sheetView>
  </sheetViews>
  <sheetFormatPr defaultRowHeight="15" x14ac:dyDescent="0.25"/>
  <cols>
    <col min="1" max="1" width="81.140625" bestFit="1" customWidth="1"/>
    <col min="2" max="2" width="77.140625" bestFit="1" customWidth="1"/>
    <col min="3" max="3" width="40.85546875" bestFit="1" customWidth="1"/>
  </cols>
  <sheetData>
    <row r="1" spans="1:2" x14ac:dyDescent="0.25">
      <c r="A1" t="s">
        <v>266</v>
      </c>
    </row>
    <row r="2" spans="1:2" x14ac:dyDescent="0.25">
      <c r="A2" t="s">
        <v>267</v>
      </c>
    </row>
    <row r="5" spans="1:2" x14ac:dyDescent="0.25">
      <c r="A5" t="s">
        <v>268</v>
      </c>
    </row>
    <row r="6" spans="1:2" x14ac:dyDescent="0.25">
      <c r="A6" t="s">
        <v>269</v>
      </c>
    </row>
    <row r="7" spans="1:2" x14ac:dyDescent="0.25">
      <c r="A7" t="s">
        <v>268</v>
      </c>
    </row>
    <row r="9" spans="1:2" x14ac:dyDescent="0.25">
      <c r="A9" t="s">
        <v>270</v>
      </c>
    </row>
    <row r="10" spans="1:2" x14ac:dyDescent="0.25">
      <c r="A10" t="s">
        <v>271</v>
      </c>
      <c r="B10" t="s">
        <v>272</v>
      </c>
    </row>
    <row r="11" spans="1:2" x14ac:dyDescent="0.25">
      <c r="A11">
        <v>10</v>
      </c>
      <c r="B11" t="s">
        <v>273</v>
      </c>
    </row>
    <row r="12" spans="1:2" x14ac:dyDescent="0.25">
      <c r="A12">
        <v>20</v>
      </c>
    </row>
    <row r="13" spans="1:2" x14ac:dyDescent="0.25">
      <c r="A13">
        <f>SUM(A11:A12)</f>
        <v>30</v>
      </c>
      <c r="B13" t="s">
        <v>274</v>
      </c>
    </row>
    <row r="14" spans="1:2" x14ac:dyDescent="0.25">
      <c r="A14" t="s">
        <v>271</v>
      </c>
      <c r="B14" t="s">
        <v>275</v>
      </c>
    </row>
    <row r="15" spans="1:2" x14ac:dyDescent="0.25">
      <c r="A15" t="s">
        <v>276</v>
      </c>
    </row>
    <row r="19" spans="1:2" x14ac:dyDescent="0.25">
      <c r="A19" t="s">
        <v>277</v>
      </c>
    </row>
    <row r="20" spans="1:2" x14ac:dyDescent="0.25">
      <c r="A20" t="s">
        <v>278</v>
      </c>
    </row>
    <row r="21" spans="1:2" x14ac:dyDescent="0.25">
      <c r="A21" t="s">
        <v>279</v>
      </c>
    </row>
    <row r="22" spans="1:2" x14ac:dyDescent="0.25">
      <c r="A22" t="s">
        <v>277</v>
      </c>
    </row>
    <row r="25" spans="1:2" x14ac:dyDescent="0.25">
      <c r="A25" t="s">
        <v>280</v>
      </c>
    </row>
    <row r="26" spans="1:2" x14ac:dyDescent="0.25">
      <c r="A26" t="s">
        <v>281</v>
      </c>
    </row>
    <row r="28" spans="1:2" x14ac:dyDescent="0.25">
      <c r="B28" t="s">
        <v>282</v>
      </c>
    </row>
    <row r="29" spans="1:2" x14ac:dyDescent="0.25">
      <c r="B29" t="s">
        <v>283</v>
      </c>
    </row>
    <row r="30" spans="1:2" x14ac:dyDescent="0.25">
      <c r="B30" t="s">
        <v>284</v>
      </c>
    </row>
    <row r="31" spans="1:2" x14ac:dyDescent="0.25">
      <c r="B31" t="s">
        <v>285</v>
      </c>
    </row>
    <row r="33" spans="1:3" x14ac:dyDescent="0.25">
      <c r="B33" t="s">
        <v>286</v>
      </c>
    </row>
    <row r="34" spans="1:3" x14ac:dyDescent="0.25">
      <c r="C34" t="s">
        <v>287</v>
      </c>
    </row>
    <row r="35" spans="1:3" x14ac:dyDescent="0.25">
      <c r="C35" t="s">
        <v>288</v>
      </c>
    </row>
    <row r="36" spans="1:3" x14ac:dyDescent="0.25">
      <c r="C36" t="s">
        <v>289</v>
      </c>
    </row>
    <row r="37" spans="1:3" x14ac:dyDescent="0.25">
      <c r="A37" t="s">
        <v>290</v>
      </c>
    </row>
    <row r="39" spans="1:3" x14ac:dyDescent="0.25">
      <c r="A39" t="s">
        <v>271</v>
      </c>
      <c r="B39" t="s">
        <v>291</v>
      </c>
    </row>
    <row r="41" spans="1:3" x14ac:dyDescent="0.25">
      <c r="A41" t="s">
        <v>292</v>
      </c>
    </row>
    <row r="44" spans="1:3" x14ac:dyDescent="0.25">
      <c r="A44" t="s">
        <v>293</v>
      </c>
    </row>
    <row r="46" spans="1:3" x14ac:dyDescent="0.25">
      <c r="A46" t="s">
        <v>219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5:T29"/>
  <sheetViews>
    <sheetView workbookViewId="0">
      <selection activeCell="K24" sqref="K24"/>
    </sheetView>
  </sheetViews>
  <sheetFormatPr defaultRowHeight="15" x14ac:dyDescent="0.25"/>
  <cols>
    <col min="10" max="10" width="0" hidden="1" customWidth="1"/>
    <col min="13" max="16" width="0" hidden="1" customWidth="1"/>
  </cols>
  <sheetData>
    <row r="5" spans="1:20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</row>
    <row r="6" spans="1:20" x14ac:dyDescent="0.25">
      <c r="A6">
        <v>2</v>
      </c>
    </row>
    <row r="7" spans="1:20" x14ac:dyDescent="0.25">
      <c r="A7">
        <v>3</v>
      </c>
    </row>
    <row r="8" spans="1:20" x14ac:dyDescent="0.25">
      <c r="A8">
        <v>4</v>
      </c>
      <c r="G8">
        <v>10</v>
      </c>
    </row>
    <row r="9" spans="1:20" x14ac:dyDescent="0.25">
      <c r="A9">
        <v>5</v>
      </c>
      <c r="G9">
        <v>20</v>
      </c>
    </row>
    <row r="10" spans="1:20" x14ac:dyDescent="0.25">
      <c r="A10">
        <v>6</v>
      </c>
      <c r="G10">
        <f>SUM(G8:G9)</f>
        <v>30</v>
      </c>
    </row>
    <row r="11" spans="1:20" x14ac:dyDescent="0.25">
      <c r="A11">
        <v>7</v>
      </c>
    </row>
    <row r="12" spans="1:20" x14ac:dyDescent="0.25">
      <c r="A12">
        <v>8</v>
      </c>
    </row>
    <row r="13" spans="1:20" x14ac:dyDescent="0.25">
      <c r="A13">
        <v>9</v>
      </c>
    </row>
    <row r="14" spans="1:20" x14ac:dyDescent="0.25">
      <c r="A14">
        <v>10</v>
      </c>
    </row>
    <row r="15" spans="1:20" x14ac:dyDescent="0.25">
      <c r="A15">
        <v>11</v>
      </c>
    </row>
    <row r="16" spans="1:20" x14ac:dyDescent="0.25">
      <c r="A16">
        <v>12</v>
      </c>
    </row>
    <row r="17" spans="1:11" x14ac:dyDescent="0.25">
      <c r="A17">
        <v>13</v>
      </c>
    </row>
    <row r="18" spans="1:11" x14ac:dyDescent="0.25">
      <c r="A18">
        <v>14</v>
      </c>
    </row>
    <row r="19" spans="1:11" x14ac:dyDescent="0.25">
      <c r="A19">
        <v>15</v>
      </c>
    </row>
    <row r="20" spans="1:11" hidden="1" x14ac:dyDescent="0.25">
      <c r="A20">
        <v>16</v>
      </c>
    </row>
    <row r="21" spans="1:11" hidden="1" x14ac:dyDescent="0.25">
      <c r="A21">
        <v>17</v>
      </c>
    </row>
    <row r="22" spans="1:11" hidden="1" x14ac:dyDescent="0.25">
      <c r="A22">
        <v>18</v>
      </c>
    </row>
    <row r="23" spans="1:11" hidden="1" x14ac:dyDescent="0.25">
      <c r="A23">
        <v>19</v>
      </c>
    </row>
    <row r="24" spans="1:11" x14ac:dyDescent="0.25">
      <c r="A24">
        <v>20</v>
      </c>
      <c r="K24" t="s">
        <v>319</v>
      </c>
    </row>
    <row r="25" spans="1:11" x14ac:dyDescent="0.25">
      <c r="A25">
        <v>21</v>
      </c>
    </row>
    <row r="26" spans="1:11" x14ac:dyDescent="0.25">
      <c r="A26">
        <v>22</v>
      </c>
    </row>
    <row r="27" spans="1:11" x14ac:dyDescent="0.25">
      <c r="A27">
        <v>23</v>
      </c>
    </row>
    <row r="28" spans="1:11" x14ac:dyDescent="0.25">
      <c r="A28">
        <v>24</v>
      </c>
    </row>
    <row r="29" spans="1:11" x14ac:dyDescent="0.25">
      <c r="A29">
        <v>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"/>
  <sheetViews>
    <sheetView workbookViewId="0">
      <selection activeCell="B8" sqref="B8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"/>
  <sheetViews>
    <sheetView workbookViewId="0">
      <selection activeCell="L34" sqref="L34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3"/>
  <dimension ref="A1:L16"/>
  <sheetViews>
    <sheetView workbookViewId="0">
      <selection activeCell="K17" sqref="K17"/>
    </sheetView>
  </sheetViews>
  <sheetFormatPr defaultRowHeight="15" x14ac:dyDescent="0.25"/>
  <cols>
    <col min="1" max="1" width="21.85546875" bestFit="1" customWidth="1"/>
    <col min="4" max="4" width="10.7109375" bestFit="1" customWidth="1"/>
  </cols>
  <sheetData>
    <row r="1" spans="1:12" x14ac:dyDescent="0.25">
      <c r="A1" t="s">
        <v>249</v>
      </c>
      <c r="B1">
        <v>7.5</v>
      </c>
      <c r="D1" s="3">
        <v>41983</v>
      </c>
      <c r="G1">
        <v>1</v>
      </c>
      <c r="I1">
        <v>1</v>
      </c>
      <c r="K1">
        <v>1</v>
      </c>
      <c r="L1">
        <v>1</v>
      </c>
    </row>
    <row r="2" spans="1:12" x14ac:dyDescent="0.25">
      <c r="B2">
        <v>4</v>
      </c>
      <c r="D2" s="3">
        <v>41984</v>
      </c>
      <c r="G2">
        <v>2</v>
      </c>
      <c r="I2">
        <v>2</v>
      </c>
      <c r="K2">
        <v>2</v>
      </c>
      <c r="L2">
        <v>2</v>
      </c>
    </row>
    <row r="3" spans="1:12" x14ac:dyDescent="0.25">
      <c r="B3">
        <v>3</v>
      </c>
      <c r="D3" s="3">
        <v>41985</v>
      </c>
      <c r="G3">
        <v>3</v>
      </c>
      <c r="I3">
        <v>3</v>
      </c>
      <c r="K3">
        <v>3</v>
      </c>
      <c r="L3">
        <v>3</v>
      </c>
    </row>
    <row r="4" spans="1:12" x14ac:dyDescent="0.25">
      <c r="B4">
        <v>50</v>
      </c>
      <c r="D4" s="3">
        <v>41986</v>
      </c>
      <c r="G4">
        <v>8</v>
      </c>
      <c r="I4">
        <v>8</v>
      </c>
      <c r="K4">
        <v>8</v>
      </c>
      <c r="L4">
        <v>8</v>
      </c>
    </row>
    <row r="5" spans="1:12" x14ac:dyDescent="0.25">
      <c r="B5">
        <v>4.5</v>
      </c>
      <c r="D5" s="3">
        <v>41987</v>
      </c>
      <c r="G5">
        <v>9</v>
      </c>
      <c r="I5">
        <v>9</v>
      </c>
      <c r="K5">
        <v>9</v>
      </c>
      <c r="L5">
        <v>9</v>
      </c>
    </row>
    <row r="6" spans="1:12" x14ac:dyDescent="0.25">
      <c r="B6">
        <v>6.2</v>
      </c>
      <c r="D6" s="3">
        <v>41988</v>
      </c>
      <c r="G6">
        <v>23</v>
      </c>
      <c r="I6">
        <v>23</v>
      </c>
      <c r="K6">
        <v>23</v>
      </c>
      <c r="L6">
        <v>23</v>
      </c>
    </row>
    <row r="7" spans="1:12" x14ac:dyDescent="0.25">
      <c r="D7" s="3">
        <v>41989</v>
      </c>
      <c r="G7">
        <v>3</v>
      </c>
      <c r="I7">
        <v>3</v>
      </c>
      <c r="K7">
        <v>3</v>
      </c>
      <c r="L7">
        <v>3</v>
      </c>
    </row>
    <row r="8" spans="1:12" x14ac:dyDescent="0.25">
      <c r="D8" s="3">
        <v>41990</v>
      </c>
      <c r="G8">
        <v>5</v>
      </c>
      <c r="I8">
        <v>5</v>
      </c>
      <c r="K8">
        <v>5</v>
      </c>
      <c r="L8">
        <v>5</v>
      </c>
    </row>
    <row r="9" spans="1:12" x14ac:dyDescent="0.25">
      <c r="D9" s="3">
        <v>41991</v>
      </c>
      <c r="G9">
        <v>1</v>
      </c>
      <c r="I9">
        <v>1</v>
      </c>
      <c r="K9">
        <v>1</v>
      </c>
      <c r="L9">
        <v>1</v>
      </c>
    </row>
    <row r="10" spans="1:12" x14ac:dyDescent="0.25">
      <c r="D10" s="3">
        <v>41992</v>
      </c>
      <c r="G10">
        <v>7</v>
      </c>
      <c r="I10">
        <v>7</v>
      </c>
      <c r="K10">
        <v>7</v>
      </c>
      <c r="L10">
        <v>7</v>
      </c>
    </row>
    <row r="14" spans="1:12" x14ac:dyDescent="0.25">
      <c r="K14">
        <v>10</v>
      </c>
    </row>
    <row r="15" spans="1:12" x14ac:dyDescent="0.25">
      <c r="K15">
        <v>20</v>
      </c>
    </row>
    <row r="16" spans="1:12" x14ac:dyDescent="0.25">
      <c r="K16">
        <f>SUM(K14:K15)</f>
        <v>30</v>
      </c>
    </row>
  </sheetData>
  <conditionalFormatting sqref="B1:B6">
    <cfRule type="cellIs" dxfId="27" priority="17" operator="lessThan">
      <formula>5</formula>
    </cfRule>
    <cfRule type="cellIs" dxfId="26" priority="18" operator="greaterThan">
      <formula>5</formula>
    </cfRule>
  </conditionalFormatting>
  <conditionalFormatting sqref="B1:B6">
    <cfRule type="aboveAverage" dxfId="25" priority="16"/>
  </conditionalFormatting>
  <conditionalFormatting sqref="B6">
    <cfRule type="colorScale" priority="15">
      <colorScale>
        <cfvo type="min"/>
        <cfvo type="max"/>
        <color rgb="FFFF7128"/>
        <color rgb="FFFFEF9C"/>
      </colorScale>
    </cfRule>
  </conditionalFormatting>
  <conditionalFormatting sqref="B4">
    <cfRule type="duplicateValues" dxfId="24" priority="1"/>
    <cfRule type="cellIs" dxfId="23" priority="13" operator="between">
      <formula>1</formula>
      <formula>50</formula>
    </cfRule>
    <cfRule type="cellIs" dxfId="22" priority="14" operator="greaterThanOrEqual">
      <formula>50</formula>
    </cfRule>
  </conditionalFormatting>
  <conditionalFormatting sqref="G1:G6">
    <cfRule type="iconSet" priority="12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I1:I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1:K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{47F80BDF-DD0E-4847-B0C7-750140F52CE3}</x14:id>
        </ext>
      </extLst>
    </cfRule>
  </conditionalFormatting>
  <conditionalFormatting sqref="L1:L6">
    <cfRule type="aboveAverage" dxfId="21" priority="8" stopIfTrue="1"/>
    <cfRule type="top10" dxfId="20" priority="9" stopIfTrue="1" percent="1" rank="10"/>
  </conditionalFormatting>
  <conditionalFormatting sqref="G7:G10">
    <cfRule type="iconSet" priority="7">
      <iconSet iconSet="4Rating">
        <cfvo type="percent" val="0"/>
        <cfvo type="percent" val="25"/>
        <cfvo type="percent" val="50"/>
        <cfvo type="percent" val="75"/>
      </iconSet>
    </cfRule>
  </conditionalFormatting>
  <conditionalFormatting sqref="I7:I10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7:K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{50AC30C0-E897-4863-8C37-1DC78477C58D}</x14:id>
        </ext>
      </extLst>
    </cfRule>
  </conditionalFormatting>
  <conditionalFormatting sqref="L7:L10">
    <cfRule type="aboveAverage" dxfId="19" priority="3" stopIfTrue="1"/>
    <cfRule type="top10" dxfId="18" priority="4" stopIfTrue="1" percent="1" rank="10"/>
  </conditionalFormatting>
  <conditionalFormatting sqref="D1:D10">
    <cfRule type="timePeriod" dxfId="17" priority="2" stopIfTrue="1" timePeriod="last7Days">
      <formula>AND(TODAY()-FLOOR(D1,1)&lt;=6,FLOOR(D1,1)&lt;=TODAY())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F80BDF-DD0E-4847-B0C7-750140F52C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K1:K6</xm:sqref>
        </x14:conditionalFormatting>
        <x14:conditionalFormatting xmlns:xm="http://schemas.microsoft.com/office/excel/2006/main">
          <x14:cfRule type="dataBar" id="{50AC30C0-E897-4863-8C37-1DC78477C5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K7:K10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4:J10"/>
  <sheetViews>
    <sheetView workbookViewId="0">
      <selection activeCell="J11" sqref="J11"/>
    </sheetView>
  </sheetViews>
  <sheetFormatPr defaultRowHeight="15" x14ac:dyDescent="0.25"/>
  <sheetData>
    <row r="4" spans="1:10" x14ac:dyDescent="0.25">
      <c r="A4">
        <v>1</v>
      </c>
    </row>
    <row r="5" spans="1:10" x14ac:dyDescent="0.25">
      <c r="A5">
        <v>2</v>
      </c>
    </row>
    <row r="6" spans="1:10" x14ac:dyDescent="0.25">
      <c r="A6">
        <v>3</v>
      </c>
    </row>
    <row r="7" spans="1:10" x14ac:dyDescent="0.25">
      <c r="A7">
        <v>4</v>
      </c>
    </row>
    <row r="8" spans="1:10" x14ac:dyDescent="0.25">
      <c r="J8">
        <v>10</v>
      </c>
    </row>
    <row r="9" spans="1:10" x14ac:dyDescent="0.25">
      <c r="J9">
        <v>20</v>
      </c>
    </row>
    <row r="10" spans="1:10" x14ac:dyDescent="0.25">
      <c r="J10">
        <f>SUM(J8:J9)</f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AJ12"/>
  <sheetViews>
    <sheetView workbookViewId="0">
      <selection activeCell="J13" sqref="J13"/>
    </sheetView>
  </sheetViews>
  <sheetFormatPr defaultRowHeight="15" x14ac:dyDescent="0.25"/>
  <cols>
    <col min="1" max="1" width="14.7109375" bestFit="1" customWidth="1"/>
    <col min="2" max="2" width="8.42578125" bestFit="1" customWidth="1"/>
    <col min="3" max="3" width="12.28515625" bestFit="1" customWidth="1"/>
    <col min="4" max="4" width="14.85546875" bestFit="1" customWidth="1"/>
    <col min="5" max="5" width="11.85546875" bestFit="1" customWidth="1"/>
    <col min="6" max="6" width="8.28515625" bestFit="1" customWidth="1"/>
    <col min="7" max="7" width="12" bestFit="1" customWidth="1"/>
    <col min="8" max="8" width="7.140625" bestFit="1" customWidth="1"/>
    <col min="9" max="9" width="20" bestFit="1" customWidth="1"/>
    <col min="10" max="10" width="10.28515625" bestFit="1" customWidth="1"/>
    <col min="11" max="11" width="6.5703125" bestFit="1" customWidth="1"/>
    <col min="12" max="12" width="7.7109375" bestFit="1" customWidth="1"/>
    <col min="13" max="13" width="9.28515625" bestFit="1" customWidth="1"/>
    <col min="14" max="14" width="13.140625" bestFit="1" customWidth="1"/>
    <col min="15" max="15" width="17.28515625" bestFit="1" customWidth="1"/>
    <col min="16" max="16" width="14.140625" bestFit="1" customWidth="1"/>
    <col min="17" max="17" width="13.7109375" bestFit="1" customWidth="1"/>
    <col min="18" max="18" width="15.42578125" bestFit="1" customWidth="1"/>
    <col min="19" max="19" width="13.42578125" bestFit="1" customWidth="1"/>
    <col min="20" max="20" width="19" bestFit="1" customWidth="1"/>
    <col min="21" max="21" width="15.28515625" bestFit="1" customWidth="1"/>
    <col min="22" max="22" width="16.42578125" bestFit="1" customWidth="1"/>
    <col min="23" max="23" width="11.42578125" bestFit="1" customWidth="1"/>
    <col min="24" max="24" width="13" bestFit="1" customWidth="1"/>
    <col min="25" max="25" width="21.7109375" bestFit="1" customWidth="1"/>
    <col min="26" max="26" width="22.140625" bestFit="1" customWidth="1"/>
    <col min="27" max="27" width="15" bestFit="1" customWidth="1"/>
    <col min="28" max="28" width="20.28515625" bestFit="1" customWidth="1"/>
    <col min="29" max="29" width="13.140625" bestFit="1" customWidth="1"/>
    <col min="30" max="30" width="16.5703125" bestFit="1" customWidth="1"/>
    <col min="31" max="31" width="17.42578125" bestFit="1" customWidth="1"/>
    <col min="32" max="32" width="14.7109375" bestFit="1" customWidth="1"/>
    <col min="33" max="33" width="15.7109375" bestFit="1" customWidth="1"/>
    <col min="34" max="34" width="10.42578125" bestFit="1" customWidth="1"/>
    <col min="35" max="35" width="14.42578125" bestFit="1" customWidth="1"/>
    <col min="36" max="36" width="8.42578125" bestFit="1" customWidth="1"/>
  </cols>
  <sheetData>
    <row r="1" spans="1:36" x14ac:dyDescent="0.25">
      <c r="A1" t="s">
        <v>9</v>
      </c>
      <c r="B1" t="s">
        <v>10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N1" t="s">
        <v>22</v>
      </c>
      <c r="O1" t="s">
        <v>23</v>
      </c>
      <c r="P1" t="s">
        <v>24</v>
      </c>
      <c r="Q1" t="s">
        <v>25</v>
      </c>
      <c r="R1" t="s">
        <v>26</v>
      </c>
      <c r="S1" t="s">
        <v>27</v>
      </c>
      <c r="T1" t="s">
        <v>28</v>
      </c>
      <c r="U1" t="s">
        <v>29</v>
      </c>
      <c r="V1" t="s">
        <v>30</v>
      </c>
      <c r="W1" t="s">
        <v>31</v>
      </c>
      <c r="X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t="s">
        <v>38</v>
      </c>
      <c r="AE1" t="s">
        <v>39</v>
      </c>
      <c r="AF1" t="s">
        <v>40</v>
      </c>
      <c r="AG1" t="s">
        <v>41</v>
      </c>
      <c r="AH1" t="s">
        <v>42</v>
      </c>
      <c r="AI1" t="s">
        <v>43</v>
      </c>
      <c r="AJ1" t="s">
        <v>44</v>
      </c>
    </row>
    <row r="2" spans="1:36" x14ac:dyDescent="0.25">
      <c r="W2" s="3"/>
      <c r="AA2" s="3"/>
      <c r="AC2" s="3"/>
      <c r="AE2" s="3"/>
      <c r="AG2" s="3"/>
    </row>
    <row r="3" spans="1:36" x14ac:dyDescent="0.25">
      <c r="W3" s="3"/>
      <c r="AA3" s="3"/>
      <c r="AC3" s="3"/>
      <c r="AE3" s="3"/>
      <c r="AG3" s="3"/>
    </row>
    <row r="10" spans="1:36" x14ac:dyDescent="0.25">
      <c r="J10">
        <v>10</v>
      </c>
    </row>
    <row r="11" spans="1:36" x14ac:dyDescent="0.25">
      <c r="J11">
        <v>20</v>
      </c>
    </row>
    <row r="12" spans="1:36" x14ac:dyDescent="0.25">
      <c r="J12">
        <f>SUM(J10:J11)</f>
        <v>30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V50"/>
  <sheetViews>
    <sheetView topLeftCell="A31" workbookViewId="0">
      <selection activeCell="F51" sqref="F51"/>
    </sheetView>
  </sheetViews>
  <sheetFormatPr defaultRowHeight="15" x14ac:dyDescent="0.25"/>
  <cols>
    <col min="1" max="1" width="9.5703125" bestFit="1" customWidth="1"/>
    <col min="2" max="2" width="21.7109375" bestFit="1" customWidth="1"/>
    <col min="3" max="3" width="25.5703125" bestFit="1" customWidth="1"/>
    <col min="4" max="4" width="21.7109375" bestFit="1" customWidth="1"/>
    <col min="5" max="5" width="22.85546875" bestFit="1" customWidth="1"/>
    <col min="6" max="6" width="22.7109375" bestFit="1" customWidth="1"/>
    <col min="7" max="7" width="16" bestFit="1" customWidth="1"/>
    <col min="8" max="8" width="18.85546875" bestFit="1" customWidth="1"/>
    <col min="9" max="9" width="20.140625" bestFit="1" customWidth="1"/>
    <col min="10" max="10" width="17.7109375" bestFit="1" customWidth="1"/>
    <col min="11" max="11" width="17.5703125" bestFit="1" customWidth="1"/>
    <col min="12" max="12" width="19.5703125" bestFit="1" customWidth="1"/>
    <col min="13" max="13" width="18.7109375" bestFit="1" customWidth="1"/>
    <col min="14" max="14" width="15" bestFit="1" customWidth="1"/>
    <col min="15" max="15" width="23.28515625" bestFit="1" customWidth="1"/>
    <col min="16" max="16" width="28.28515625" bestFit="1" customWidth="1"/>
    <col min="17" max="17" width="26.140625" bestFit="1" customWidth="1"/>
    <col min="18" max="18" width="34" bestFit="1" customWidth="1"/>
    <col min="19" max="19" width="25" bestFit="1" customWidth="1"/>
    <col min="20" max="20" width="12" bestFit="1" customWidth="1"/>
    <col min="21" max="21" width="16.140625" bestFit="1" customWidth="1"/>
    <col min="22" max="22" width="11.85546875" bestFit="1" customWidth="1"/>
  </cols>
  <sheetData>
    <row r="1" spans="1:22" x14ac:dyDescent="0.25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  <c r="R1" t="s">
        <v>62</v>
      </c>
      <c r="S1" t="s">
        <v>63</v>
      </c>
      <c r="T1" t="s">
        <v>64</v>
      </c>
      <c r="U1" t="s">
        <v>65</v>
      </c>
      <c r="V1" t="s">
        <v>66</v>
      </c>
    </row>
    <row r="2" spans="1:22" x14ac:dyDescent="0.25">
      <c r="A2">
        <v>1</v>
      </c>
      <c r="B2" t="s">
        <v>67</v>
      </c>
      <c r="C2" t="s">
        <v>68</v>
      </c>
      <c r="D2" t="s">
        <v>69</v>
      </c>
      <c r="E2" t="s">
        <v>70</v>
      </c>
      <c r="F2" s="4">
        <v>41600.766236574076</v>
      </c>
      <c r="G2">
        <v>30</v>
      </c>
      <c r="H2" t="s">
        <v>71</v>
      </c>
      <c r="I2" s="4"/>
      <c r="J2" t="s">
        <v>72</v>
      </c>
      <c r="K2" s="4">
        <v>41604.586448726855</v>
      </c>
      <c r="L2" s="4">
        <v>41599.769075266202</v>
      </c>
      <c r="N2" s="4"/>
      <c r="O2">
        <v>10</v>
      </c>
      <c r="Q2">
        <v>0</v>
      </c>
      <c r="R2">
        <v>0</v>
      </c>
      <c r="S2" s="4">
        <v>41418.425923379633</v>
      </c>
      <c r="T2" t="s">
        <v>6</v>
      </c>
      <c r="U2" t="s">
        <v>73</v>
      </c>
      <c r="V2">
        <v>1</v>
      </c>
    </row>
    <row r="3" spans="1:22" x14ac:dyDescent="0.25">
      <c r="A3">
        <v>2</v>
      </c>
      <c r="B3" t="s">
        <v>74</v>
      </c>
      <c r="C3" t="s">
        <v>72</v>
      </c>
      <c r="D3" t="s">
        <v>75</v>
      </c>
      <c r="E3" t="s">
        <v>76</v>
      </c>
      <c r="F3" s="4">
        <v>41418.732316631947</v>
      </c>
      <c r="G3">
        <v>30</v>
      </c>
      <c r="H3" t="s">
        <v>71</v>
      </c>
      <c r="I3" s="4"/>
      <c r="K3" s="4"/>
      <c r="L3" s="4"/>
      <c r="N3" s="4"/>
      <c r="O3">
        <v>10</v>
      </c>
      <c r="P3">
        <v>10</v>
      </c>
      <c r="Q3">
        <v>1</v>
      </c>
      <c r="R3">
        <v>10</v>
      </c>
      <c r="S3" s="4">
        <v>41418.732316631947</v>
      </c>
      <c r="T3" t="s">
        <v>77</v>
      </c>
      <c r="U3" t="s">
        <v>73</v>
      </c>
      <c r="V3">
        <v>2</v>
      </c>
    </row>
    <row r="4" spans="1:22" x14ac:dyDescent="0.25">
      <c r="A4">
        <v>3</v>
      </c>
      <c r="B4" t="s">
        <v>78</v>
      </c>
      <c r="C4" t="s">
        <v>72</v>
      </c>
      <c r="D4" t="s">
        <v>79</v>
      </c>
      <c r="E4" t="s">
        <v>80</v>
      </c>
      <c r="F4" s="4">
        <v>41418.732321875003</v>
      </c>
      <c r="G4">
        <v>30</v>
      </c>
      <c r="H4" t="s">
        <v>71</v>
      </c>
      <c r="I4" s="4"/>
      <c r="K4" s="4"/>
      <c r="L4" s="4"/>
      <c r="N4" s="4"/>
      <c r="O4">
        <v>10</v>
      </c>
      <c r="P4">
        <v>10</v>
      </c>
      <c r="Q4">
        <v>1</v>
      </c>
      <c r="R4">
        <v>10</v>
      </c>
      <c r="S4" s="4">
        <v>41418.732321875003</v>
      </c>
      <c r="T4" t="s">
        <v>77</v>
      </c>
      <c r="U4" t="s">
        <v>73</v>
      </c>
      <c r="V4">
        <v>2</v>
      </c>
    </row>
    <row r="5" spans="1:22" x14ac:dyDescent="0.25">
      <c r="A5">
        <v>4</v>
      </c>
      <c r="B5" t="s">
        <v>81</v>
      </c>
      <c r="C5" t="s">
        <v>72</v>
      </c>
      <c r="D5" t="s">
        <v>82</v>
      </c>
      <c r="E5" t="s">
        <v>83</v>
      </c>
      <c r="F5" s="4">
        <v>41418.732326620368</v>
      </c>
      <c r="G5">
        <v>30</v>
      </c>
      <c r="H5" t="s">
        <v>71</v>
      </c>
      <c r="I5" s="4"/>
      <c r="J5" t="s">
        <v>72</v>
      </c>
      <c r="K5" s="4">
        <v>41603.801426076388</v>
      </c>
      <c r="L5" s="4"/>
      <c r="N5" s="4"/>
      <c r="O5">
        <v>10</v>
      </c>
      <c r="Q5">
        <v>0</v>
      </c>
      <c r="R5">
        <v>0</v>
      </c>
      <c r="S5" s="4">
        <v>41418.732326620368</v>
      </c>
      <c r="T5" t="s">
        <v>6</v>
      </c>
      <c r="U5" t="s">
        <v>73</v>
      </c>
      <c r="V5">
        <v>2</v>
      </c>
    </row>
    <row r="6" spans="1:22" x14ac:dyDescent="0.25">
      <c r="A6">
        <v>5</v>
      </c>
      <c r="B6" t="s">
        <v>84</v>
      </c>
      <c r="C6" t="s">
        <v>72</v>
      </c>
      <c r="D6" t="s">
        <v>85</v>
      </c>
      <c r="E6" t="s">
        <v>86</v>
      </c>
      <c r="F6" s="4">
        <v>41418.732331134262</v>
      </c>
      <c r="G6">
        <v>30</v>
      </c>
      <c r="H6" t="s">
        <v>71</v>
      </c>
      <c r="I6" s="4"/>
      <c r="J6" t="s">
        <v>72</v>
      </c>
      <c r="K6" s="4">
        <v>41472.592488854163</v>
      </c>
      <c r="L6" s="4">
        <v>41472.676242974536</v>
      </c>
      <c r="N6" s="4"/>
      <c r="O6">
        <v>10</v>
      </c>
      <c r="Q6">
        <v>0</v>
      </c>
      <c r="R6">
        <v>0</v>
      </c>
      <c r="S6" s="4">
        <v>41418.732331134262</v>
      </c>
      <c r="T6" t="s">
        <v>6</v>
      </c>
      <c r="U6" t="s">
        <v>73</v>
      </c>
      <c r="V6">
        <v>2</v>
      </c>
    </row>
    <row r="7" spans="1:22" x14ac:dyDescent="0.25">
      <c r="A7">
        <v>6</v>
      </c>
      <c r="B7" t="s">
        <v>87</v>
      </c>
      <c r="C7" t="s">
        <v>72</v>
      </c>
      <c r="D7" t="s">
        <v>88</v>
      </c>
      <c r="E7" t="s">
        <v>89</v>
      </c>
      <c r="F7" s="4">
        <v>41418.732335300927</v>
      </c>
      <c r="G7">
        <v>30</v>
      </c>
      <c r="H7" t="s">
        <v>71</v>
      </c>
      <c r="I7" s="4"/>
      <c r="J7" t="s">
        <v>72</v>
      </c>
      <c r="K7" s="4">
        <v>41599.782420567128</v>
      </c>
      <c r="L7" s="4">
        <v>41419.57797392361</v>
      </c>
      <c r="N7" s="4"/>
      <c r="O7">
        <v>10</v>
      </c>
      <c r="Q7">
        <v>0</v>
      </c>
      <c r="R7">
        <v>0</v>
      </c>
      <c r="S7" s="4">
        <v>41418.732335300927</v>
      </c>
      <c r="T7" t="s">
        <v>6</v>
      </c>
      <c r="U7" t="s">
        <v>73</v>
      </c>
      <c r="V7">
        <v>2</v>
      </c>
    </row>
    <row r="8" spans="1:22" x14ac:dyDescent="0.25">
      <c r="A8">
        <v>7</v>
      </c>
      <c r="B8" t="s">
        <v>90</v>
      </c>
      <c r="C8" t="s">
        <v>72</v>
      </c>
      <c r="D8" t="s">
        <v>91</v>
      </c>
      <c r="E8" t="s">
        <v>92</v>
      </c>
      <c r="F8" s="4">
        <v>41418.732751736112</v>
      </c>
      <c r="G8">
        <v>30</v>
      </c>
      <c r="H8" t="s">
        <v>71</v>
      </c>
      <c r="I8" s="4"/>
      <c r="J8" t="s">
        <v>72</v>
      </c>
      <c r="K8" s="4">
        <v>41472.696119907407</v>
      </c>
      <c r="L8" s="4">
        <v>41472.696210532406</v>
      </c>
      <c r="N8" s="4"/>
      <c r="O8">
        <v>10</v>
      </c>
      <c r="Q8">
        <v>0</v>
      </c>
      <c r="R8">
        <v>0</v>
      </c>
      <c r="S8" s="4">
        <v>41418.732751736112</v>
      </c>
      <c r="T8" t="s">
        <v>6</v>
      </c>
      <c r="U8" t="s">
        <v>73</v>
      </c>
      <c r="V8">
        <v>2</v>
      </c>
    </row>
    <row r="9" spans="1:22" x14ac:dyDescent="0.25">
      <c r="A9">
        <v>8</v>
      </c>
      <c r="B9" t="s">
        <v>93</v>
      </c>
      <c r="C9" t="s">
        <v>72</v>
      </c>
      <c r="D9" t="s">
        <v>94</v>
      </c>
      <c r="E9" t="s">
        <v>95</v>
      </c>
      <c r="F9" s="4">
        <v>41419.432107291665</v>
      </c>
      <c r="G9">
        <v>30</v>
      </c>
      <c r="H9" t="s">
        <v>71</v>
      </c>
      <c r="I9" s="4"/>
      <c r="K9" s="4"/>
      <c r="L9" s="4"/>
      <c r="N9" s="4"/>
      <c r="O9">
        <v>10</v>
      </c>
      <c r="P9">
        <v>10</v>
      </c>
      <c r="Q9">
        <v>1</v>
      </c>
      <c r="R9">
        <v>10</v>
      </c>
      <c r="S9" s="4">
        <v>41419.432107291665</v>
      </c>
      <c r="T9" t="s">
        <v>77</v>
      </c>
      <c r="U9" t="s">
        <v>73</v>
      </c>
      <c r="V9">
        <v>2</v>
      </c>
    </row>
    <row r="10" spans="1:22" x14ac:dyDescent="0.25">
      <c r="A10">
        <v>9</v>
      </c>
      <c r="B10" t="s">
        <v>96</v>
      </c>
      <c r="C10" t="s">
        <v>72</v>
      </c>
      <c r="D10" t="s">
        <v>97</v>
      </c>
      <c r="E10" t="s">
        <v>98</v>
      </c>
      <c r="F10" s="4">
        <v>41419.435077395836</v>
      </c>
      <c r="G10">
        <v>30</v>
      </c>
      <c r="H10" t="s">
        <v>71</v>
      </c>
      <c r="I10" s="4"/>
      <c r="K10" s="4"/>
      <c r="L10" s="4"/>
      <c r="N10" s="4"/>
      <c r="O10">
        <v>10</v>
      </c>
      <c r="P10">
        <v>10</v>
      </c>
      <c r="Q10">
        <v>1</v>
      </c>
      <c r="R10">
        <v>10</v>
      </c>
      <c r="S10" s="4">
        <v>41419.435077395836</v>
      </c>
      <c r="T10" t="s">
        <v>77</v>
      </c>
      <c r="U10" t="s">
        <v>73</v>
      </c>
      <c r="V10">
        <v>2</v>
      </c>
    </row>
    <row r="11" spans="1:22" x14ac:dyDescent="0.25">
      <c r="A11">
        <v>10</v>
      </c>
      <c r="B11" t="s">
        <v>99</v>
      </c>
      <c r="C11" t="s">
        <v>72</v>
      </c>
      <c r="D11" t="s">
        <v>99</v>
      </c>
      <c r="E11" t="s">
        <v>72</v>
      </c>
      <c r="F11" s="4">
        <v>41419.435079826391</v>
      </c>
      <c r="G11">
        <v>30</v>
      </c>
      <c r="H11" t="s">
        <v>71</v>
      </c>
      <c r="I11" s="4"/>
      <c r="K11" s="4"/>
      <c r="L11" s="4"/>
      <c r="N11" s="4"/>
      <c r="O11">
        <v>10</v>
      </c>
      <c r="P11">
        <v>10</v>
      </c>
      <c r="Q11">
        <v>1</v>
      </c>
      <c r="R11">
        <v>10</v>
      </c>
      <c r="S11" s="4">
        <v>41419.435079826391</v>
      </c>
      <c r="T11" t="s">
        <v>77</v>
      </c>
      <c r="U11" t="s">
        <v>73</v>
      </c>
      <c r="V11">
        <v>2</v>
      </c>
    </row>
    <row r="12" spans="1:22" x14ac:dyDescent="0.25">
      <c r="A12">
        <v>11</v>
      </c>
      <c r="B12" t="s">
        <v>100</v>
      </c>
      <c r="C12" t="s">
        <v>72</v>
      </c>
      <c r="D12" t="s">
        <v>101</v>
      </c>
      <c r="E12" t="s">
        <v>102</v>
      </c>
      <c r="F12" s="4">
        <v>41470.599047835647</v>
      </c>
      <c r="G12">
        <v>30</v>
      </c>
      <c r="H12" t="s">
        <v>71</v>
      </c>
      <c r="I12" s="4"/>
      <c r="K12" s="4"/>
      <c r="L12" s="4"/>
      <c r="N12" s="4"/>
      <c r="O12">
        <v>10</v>
      </c>
      <c r="P12">
        <v>10</v>
      </c>
      <c r="Q12">
        <v>1</v>
      </c>
      <c r="R12">
        <v>10</v>
      </c>
      <c r="S12" s="4">
        <v>41470.599047835647</v>
      </c>
      <c r="T12" t="s">
        <v>77</v>
      </c>
      <c r="U12" t="s">
        <v>73</v>
      </c>
      <c r="V12">
        <v>2</v>
      </c>
    </row>
    <row r="13" spans="1:22" x14ac:dyDescent="0.25">
      <c r="A13">
        <v>12</v>
      </c>
      <c r="B13" t="s">
        <v>103</v>
      </c>
      <c r="C13" t="s">
        <v>72</v>
      </c>
      <c r="D13" t="s">
        <v>104</v>
      </c>
      <c r="E13" t="s">
        <v>105</v>
      </c>
      <c r="F13" s="4">
        <v>41477.608324803237</v>
      </c>
      <c r="G13">
        <v>30</v>
      </c>
      <c r="H13" t="s">
        <v>71</v>
      </c>
      <c r="I13" s="4"/>
      <c r="K13" s="4"/>
      <c r="L13" s="4"/>
      <c r="N13" s="4"/>
      <c r="O13">
        <v>10</v>
      </c>
      <c r="P13">
        <v>10</v>
      </c>
      <c r="Q13">
        <v>1</v>
      </c>
      <c r="R13">
        <v>10</v>
      </c>
      <c r="S13" s="4">
        <v>41477.608324803237</v>
      </c>
      <c r="T13" t="s">
        <v>77</v>
      </c>
      <c r="U13" t="s">
        <v>73</v>
      </c>
      <c r="V13">
        <v>2</v>
      </c>
    </row>
    <row r="14" spans="1:22" x14ac:dyDescent="0.25">
      <c r="A14">
        <v>13</v>
      </c>
      <c r="B14" t="s">
        <v>106</v>
      </c>
      <c r="C14" t="s">
        <v>72</v>
      </c>
      <c r="D14" t="s">
        <v>107</v>
      </c>
      <c r="E14" t="s">
        <v>108</v>
      </c>
      <c r="F14" s="4">
        <v>41541.570921296297</v>
      </c>
      <c r="G14">
        <v>30</v>
      </c>
      <c r="H14" t="s">
        <v>71</v>
      </c>
      <c r="I14" s="4"/>
      <c r="K14" s="4"/>
      <c r="L14" s="4"/>
      <c r="N14" s="4"/>
      <c r="O14">
        <v>10</v>
      </c>
      <c r="P14">
        <v>10</v>
      </c>
      <c r="Q14">
        <v>1</v>
      </c>
      <c r="R14">
        <v>10</v>
      </c>
      <c r="S14" s="4">
        <v>41520.600266979163</v>
      </c>
      <c r="T14" t="s">
        <v>6</v>
      </c>
      <c r="U14" t="s">
        <v>73</v>
      </c>
      <c r="V14">
        <v>2</v>
      </c>
    </row>
    <row r="15" spans="1:22" x14ac:dyDescent="0.25">
      <c r="A15">
        <v>14</v>
      </c>
      <c r="B15" t="s">
        <v>109</v>
      </c>
      <c r="C15" t="s">
        <v>72</v>
      </c>
      <c r="D15" t="s">
        <v>109</v>
      </c>
      <c r="E15" t="s">
        <v>110</v>
      </c>
      <c r="F15" s="4">
        <v>41541.502133530092</v>
      </c>
      <c r="G15">
        <v>30</v>
      </c>
      <c r="H15" t="s">
        <v>71</v>
      </c>
      <c r="I15" s="4"/>
      <c r="K15" s="4"/>
      <c r="L15" s="4"/>
      <c r="N15" s="4"/>
      <c r="O15">
        <v>10</v>
      </c>
      <c r="P15">
        <v>10</v>
      </c>
      <c r="Q15">
        <v>1</v>
      </c>
      <c r="R15">
        <v>10</v>
      </c>
      <c r="S15" s="4">
        <v>41520.601340127316</v>
      </c>
      <c r="T15" t="s">
        <v>6</v>
      </c>
      <c r="U15" t="s">
        <v>73</v>
      </c>
      <c r="V15">
        <v>2</v>
      </c>
    </row>
    <row r="16" spans="1:22" x14ac:dyDescent="0.25">
      <c r="A16">
        <v>15</v>
      </c>
      <c r="B16" t="s">
        <v>111</v>
      </c>
      <c r="C16" t="s">
        <v>72</v>
      </c>
      <c r="D16" t="s">
        <v>112</v>
      </c>
      <c r="E16" t="s">
        <v>113</v>
      </c>
      <c r="F16" s="4">
        <v>41520.655476886575</v>
      </c>
      <c r="G16">
        <v>30</v>
      </c>
      <c r="H16" t="s">
        <v>71</v>
      </c>
      <c r="I16" s="4"/>
      <c r="K16" s="4"/>
      <c r="L16" s="4"/>
      <c r="N16" s="4"/>
      <c r="O16">
        <v>10</v>
      </c>
      <c r="P16">
        <v>10</v>
      </c>
      <c r="Q16">
        <v>1</v>
      </c>
      <c r="R16">
        <v>10</v>
      </c>
      <c r="S16" s="4">
        <v>41520.655476886575</v>
      </c>
      <c r="T16" t="s">
        <v>77</v>
      </c>
      <c r="U16" t="s">
        <v>73</v>
      </c>
      <c r="V16">
        <v>2</v>
      </c>
    </row>
    <row r="17" spans="1:22" x14ac:dyDescent="0.25">
      <c r="A17">
        <v>16</v>
      </c>
      <c r="B17" t="s">
        <v>114</v>
      </c>
      <c r="C17" t="s">
        <v>72</v>
      </c>
      <c r="D17" t="s">
        <v>114</v>
      </c>
      <c r="E17" t="s">
        <v>115</v>
      </c>
      <c r="F17" s="4">
        <v>41521.740129513892</v>
      </c>
      <c r="G17">
        <v>30</v>
      </c>
      <c r="H17" t="s">
        <v>71</v>
      </c>
      <c r="I17" s="4"/>
      <c r="K17" s="4"/>
      <c r="L17" s="4"/>
      <c r="N17" s="4"/>
      <c r="O17">
        <v>10</v>
      </c>
      <c r="P17">
        <v>10</v>
      </c>
      <c r="Q17">
        <v>1</v>
      </c>
      <c r="R17">
        <v>10</v>
      </c>
      <c r="S17" s="4">
        <v>41521.740129513892</v>
      </c>
      <c r="T17" t="s">
        <v>77</v>
      </c>
      <c r="U17" t="s">
        <v>73</v>
      </c>
      <c r="V17">
        <v>2</v>
      </c>
    </row>
    <row r="18" spans="1:22" x14ac:dyDescent="0.25">
      <c r="A18">
        <v>17</v>
      </c>
      <c r="B18" t="s">
        <v>116</v>
      </c>
      <c r="C18" t="s">
        <v>72</v>
      </c>
      <c r="D18" t="s">
        <v>117</v>
      </c>
      <c r="E18" t="s">
        <v>118</v>
      </c>
      <c r="F18" s="4">
        <v>41521.743858946757</v>
      </c>
      <c r="G18">
        <v>30</v>
      </c>
      <c r="H18" t="s">
        <v>71</v>
      </c>
      <c r="I18" s="4"/>
      <c r="K18" s="4"/>
      <c r="L18" s="4"/>
      <c r="N18" s="4"/>
      <c r="O18">
        <v>10</v>
      </c>
      <c r="P18">
        <v>10</v>
      </c>
      <c r="Q18">
        <v>1</v>
      </c>
      <c r="R18">
        <v>10</v>
      </c>
      <c r="S18" s="4">
        <v>41521.743858946757</v>
      </c>
      <c r="T18" t="s">
        <v>77</v>
      </c>
      <c r="U18" t="s">
        <v>73</v>
      </c>
      <c r="V18">
        <v>2</v>
      </c>
    </row>
    <row r="19" spans="1:22" x14ac:dyDescent="0.25">
      <c r="A19">
        <v>18</v>
      </c>
      <c r="B19" t="s">
        <v>119</v>
      </c>
      <c r="C19" t="s">
        <v>72</v>
      </c>
      <c r="D19" t="s">
        <v>120</v>
      </c>
      <c r="E19" t="s">
        <v>121</v>
      </c>
      <c r="F19" s="4">
        <v>41522.417612152778</v>
      </c>
      <c r="G19">
        <v>30</v>
      </c>
      <c r="H19" t="s">
        <v>71</v>
      </c>
      <c r="I19" s="4"/>
      <c r="K19" s="4"/>
      <c r="L19" s="4"/>
      <c r="N19" s="4"/>
      <c r="O19">
        <v>10</v>
      </c>
      <c r="P19">
        <v>10</v>
      </c>
      <c r="Q19">
        <v>1</v>
      </c>
      <c r="R19">
        <v>10</v>
      </c>
      <c r="S19" s="4">
        <v>41522.417612152778</v>
      </c>
      <c r="T19" t="s">
        <v>77</v>
      </c>
      <c r="U19" t="s">
        <v>122</v>
      </c>
      <c r="V19">
        <v>2</v>
      </c>
    </row>
    <row r="20" spans="1:22" x14ac:dyDescent="0.25">
      <c r="A20">
        <v>19</v>
      </c>
      <c r="B20" t="s">
        <v>123</v>
      </c>
      <c r="C20" t="s">
        <v>72</v>
      </c>
      <c r="D20" t="s">
        <v>123</v>
      </c>
      <c r="E20" t="s">
        <v>124</v>
      </c>
      <c r="F20" s="4">
        <v>41522.421959756946</v>
      </c>
      <c r="G20">
        <v>30</v>
      </c>
      <c r="H20" t="s">
        <v>71</v>
      </c>
      <c r="I20" s="4"/>
      <c r="K20" s="4"/>
      <c r="L20" s="4"/>
      <c r="N20" s="4"/>
      <c r="O20">
        <v>10</v>
      </c>
      <c r="P20">
        <v>10</v>
      </c>
      <c r="Q20">
        <v>1</v>
      </c>
      <c r="R20">
        <v>10</v>
      </c>
      <c r="S20" s="4">
        <v>41522.421959756946</v>
      </c>
      <c r="T20" t="s">
        <v>77</v>
      </c>
      <c r="U20" t="s">
        <v>73</v>
      </c>
      <c r="V20">
        <v>2</v>
      </c>
    </row>
    <row r="21" spans="1:22" x14ac:dyDescent="0.25">
      <c r="A21">
        <v>20</v>
      </c>
      <c r="B21" t="s">
        <v>125</v>
      </c>
      <c r="C21" t="s">
        <v>72</v>
      </c>
      <c r="D21" t="s">
        <v>126</v>
      </c>
      <c r="E21" t="s">
        <v>127</v>
      </c>
      <c r="F21" s="4">
        <v>41522.428142557874</v>
      </c>
      <c r="G21">
        <v>30</v>
      </c>
      <c r="H21" t="s">
        <v>71</v>
      </c>
      <c r="I21" s="4"/>
      <c r="K21" s="4"/>
      <c r="L21" s="4"/>
      <c r="N21" s="4"/>
      <c r="O21">
        <v>10</v>
      </c>
      <c r="P21">
        <v>10</v>
      </c>
      <c r="Q21">
        <v>1</v>
      </c>
      <c r="R21">
        <v>10</v>
      </c>
      <c r="S21" s="4">
        <v>41522.428142557874</v>
      </c>
      <c r="T21" t="s">
        <v>77</v>
      </c>
      <c r="U21" t="s">
        <v>73</v>
      </c>
      <c r="V21">
        <v>2</v>
      </c>
    </row>
    <row r="22" spans="1:22" x14ac:dyDescent="0.25">
      <c r="A22">
        <v>21</v>
      </c>
      <c r="B22" t="s">
        <v>128</v>
      </c>
      <c r="C22" t="s">
        <v>72</v>
      </c>
      <c r="D22" t="s">
        <v>128</v>
      </c>
      <c r="E22" t="s">
        <v>129</v>
      </c>
      <c r="F22" s="4">
        <v>41522.429368368059</v>
      </c>
      <c r="G22">
        <v>30</v>
      </c>
      <c r="H22" t="s">
        <v>71</v>
      </c>
      <c r="I22" s="4"/>
      <c r="K22" s="4"/>
      <c r="L22" s="4"/>
      <c r="N22" s="4"/>
      <c r="O22">
        <v>10</v>
      </c>
      <c r="P22">
        <v>10</v>
      </c>
      <c r="Q22">
        <v>1</v>
      </c>
      <c r="R22">
        <v>10</v>
      </c>
      <c r="S22" s="4">
        <v>41522.429368368059</v>
      </c>
      <c r="T22" t="s">
        <v>77</v>
      </c>
      <c r="U22" t="s">
        <v>73</v>
      </c>
      <c r="V22">
        <v>2</v>
      </c>
    </row>
    <row r="23" spans="1:22" x14ac:dyDescent="0.25">
      <c r="A23">
        <v>22</v>
      </c>
      <c r="B23" t="s">
        <v>130</v>
      </c>
      <c r="C23" t="s">
        <v>72</v>
      </c>
      <c r="D23" t="s">
        <v>131</v>
      </c>
      <c r="E23" t="s">
        <v>132</v>
      </c>
      <c r="F23" s="4">
        <v>41522.434295289349</v>
      </c>
      <c r="G23">
        <v>30</v>
      </c>
      <c r="H23" t="s">
        <v>71</v>
      </c>
      <c r="I23" s="4"/>
      <c r="K23" s="4"/>
      <c r="L23" s="4"/>
      <c r="N23" s="4"/>
      <c r="O23">
        <v>10</v>
      </c>
      <c r="P23">
        <v>10</v>
      </c>
      <c r="Q23">
        <v>1</v>
      </c>
      <c r="R23">
        <v>10</v>
      </c>
      <c r="S23" s="4">
        <v>41522.434295289349</v>
      </c>
      <c r="T23" t="s">
        <v>77</v>
      </c>
      <c r="U23" t="s">
        <v>73</v>
      </c>
      <c r="V23">
        <v>2</v>
      </c>
    </row>
    <row r="24" spans="1:22" x14ac:dyDescent="0.25">
      <c r="A24">
        <v>23</v>
      </c>
      <c r="B24" t="s">
        <v>133</v>
      </c>
      <c r="C24" t="s">
        <v>72</v>
      </c>
      <c r="D24" t="s">
        <v>133</v>
      </c>
      <c r="E24" t="s">
        <v>134</v>
      </c>
      <c r="F24" s="4">
        <v>41522.438536377318</v>
      </c>
      <c r="G24">
        <v>30</v>
      </c>
      <c r="H24" t="s">
        <v>71</v>
      </c>
      <c r="I24" s="4"/>
      <c r="K24" s="4"/>
      <c r="L24" s="4"/>
      <c r="N24" s="4"/>
      <c r="O24">
        <v>10</v>
      </c>
      <c r="P24">
        <v>10</v>
      </c>
      <c r="Q24">
        <v>1</v>
      </c>
      <c r="R24">
        <v>10</v>
      </c>
      <c r="S24" s="4">
        <v>41522.438536377318</v>
      </c>
      <c r="T24" t="s">
        <v>77</v>
      </c>
      <c r="U24" t="s">
        <v>73</v>
      </c>
      <c r="V24">
        <v>2</v>
      </c>
    </row>
    <row r="25" spans="1:22" x14ac:dyDescent="0.25">
      <c r="A25">
        <v>24</v>
      </c>
      <c r="B25" t="s">
        <v>135</v>
      </c>
      <c r="C25" t="s">
        <v>72</v>
      </c>
      <c r="D25" t="s">
        <v>135</v>
      </c>
      <c r="E25" t="s">
        <v>136</v>
      </c>
      <c r="F25" s="4">
        <v>41522.438548645834</v>
      </c>
      <c r="G25">
        <v>30</v>
      </c>
      <c r="H25" t="s">
        <v>71</v>
      </c>
      <c r="I25" s="4"/>
      <c r="K25" s="4"/>
      <c r="L25" s="4"/>
      <c r="N25" s="4"/>
      <c r="O25">
        <v>10</v>
      </c>
      <c r="P25">
        <v>10</v>
      </c>
      <c r="Q25">
        <v>1</v>
      </c>
      <c r="R25">
        <v>10</v>
      </c>
      <c r="S25" s="4">
        <v>41522.438548645834</v>
      </c>
      <c r="T25" t="s">
        <v>77</v>
      </c>
      <c r="U25" t="s">
        <v>73</v>
      </c>
      <c r="V25">
        <v>2</v>
      </c>
    </row>
    <row r="26" spans="1:22" x14ac:dyDescent="0.25">
      <c r="A26">
        <v>26</v>
      </c>
      <c r="B26" t="s">
        <v>137</v>
      </c>
      <c r="C26" t="s">
        <v>72</v>
      </c>
      <c r="D26" t="s">
        <v>137</v>
      </c>
      <c r="E26" t="s">
        <v>72</v>
      </c>
      <c r="F26" s="4">
        <v>41523.679572488429</v>
      </c>
      <c r="G26">
        <v>30</v>
      </c>
      <c r="H26" t="s">
        <v>71</v>
      </c>
      <c r="I26" s="4"/>
      <c r="K26" s="4"/>
      <c r="L26" s="4"/>
      <c r="N26" s="4"/>
      <c r="O26">
        <v>10</v>
      </c>
      <c r="P26">
        <v>10</v>
      </c>
      <c r="Q26">
        <v>1</v>
      </c>
      <c r="R26">
        <v>10</v>
      </c>
      <c r="S26" s="4">
        <v>41523.679572488429</v>
      </c>
      <c r="T26" t="s">
        <v>77</v>
      </c>
      <c r="U26" t="s">
        <v>73</v>
      </c>
      <c r="V26">
        <v>2</v>
      </c>
    </row>
    <row r="27" spans="1:22" x14ac:dyDescent="0.25">
      <c r="A27">
        <v>27</v>
      </c>
      <c r="B27" t="s">
        <v>138</v>
      </c>
      <c r="C27" t="s">
        <v>72</v>
      </c>
      <c r="D27" t="s">
        <v>138</v>
      </c>
      <c r="E27" t="s">
        <v>139</v>
      </c>
      <c r="F27" s="4">
        <v>41530.454970798608</v>
      </c>
      <c r="G27">
        <v>30</v>
      </c>
      <c r="H27" t="s">
        <v>71</v>
      </c>
      <c r="I27" s="4"/>
      <c r="K27" s="4"/>
      <c r="L27" s="4"/>
      <c r="N27" s="4"/>
      <c r="O27">
        <v>10</v>
      </c>
      <c r="P27">
        <v>10</v>
      </c>
      <c r="Q27">
        <v>1</v>
      </c>
      <c r="R27">
        <v>10</v>
      </c>
      <c r="S27" s="4">
        <v>41530.454970798608</v>
      </c>
      <c r="T27" t="s">
        <v>77</v>
      </c>
      <c r="U27" t="s">
        <v>73</v>
      </c>
      <c r="V27">
        <v>2</v>
      </c>
    </row>
    <row r="28" spans="1:22" x14ac:dyDescent="0.25">
      <c r="A28">
        <v>28</v>
      </c>
      <c r="B28" t="s">
        <v>140</v>
      </c>
      <c r="C28" t="s">
        <v>72</v>
      </c>
      <c r="D28" t="s">
        <v>141</v>
      </c>
      <c r="E28" t="s">
        <v>142</v>
      </c>
      <c r="F28" s="4">
        <v>41541.558547997687</v>
      </c>
      <c r="G28">
        <v>30</v>
      </c>
      <c r="H28" t="s">
        <v>71</v>
      </c>
      <c r="I28" s="4"/>
      <c r="K28" s="4"/>
      <c r="L28" s="4"/>
      <c r="N28" s="4"/>
      <c r="O28">
        <v>10</v>
      </c>
      <c r="P28">
        <v>10</v>
      </c>
      <c r="Q28">
        <v>1</v>
      </c>
      <c r="R28">
        <v>10</v>
      </c>
      <c r="S28" s="4">
        <v>41530.456535150464</v>
      </c>
      <c r="T28" t="s">
        <v>6</v>
      </c>
      <c r="U28" t="s">
        <v>73</v>
      </c>
      <c r="V28">
        <v>2</v>
      </c>
    </row>
    <row r="29" spans="1:22" x14ac:dyDescent="0.25">
      <c r="A29">
        <v>29</v>
      </c>
      <c r="B29" t="s">
        <v>143</v>
      </c>
      <c r="C29" t="s">
        <v>72</v>
      </c>
      <c r="D29" t="s">
        <v>143</v>
      </c>
      <c r="E29" t="s">
        <v>72</v>
      </c>
      <c r="F29" s="4">
        <v>41530.456555289355</v>
      </c>
      <c r="G29">
        <v>30</v>
      </c>
      <c r="H29" t="s">
        <v>71</v>
      </c>
      <c r="I29" s="4"/>
      <c r="K29" s="4"/>
      <c r="L29" s="4"/>
      <c r="N29" s="4"/>
      <c r="O29">
        <v>10</v>
      </c>
      <c r="P29">
        <v>10</v>
      </c>
      <c r="Q29">
        <v>1</v>
      </c>
      <c r="R29">
        <v>10</v>
      </c>
      <c r="S29" s="4">
        <v>41530.456555289355</v>
      </c>
      <c r="T29" t="s">
        <v>77</v>
      </c>
      <c r="U29" t="s">
        <v>73</v>
      </c>
      <c r="V29">
        <v>2</v>
      </c>
    </row>
    <row r="30" spans="1:22" x14ac:dyDescent="0.25">
      <c r="A30">
        <v>30</v>
      </c>
      <c r="B30" t="s">
        <v>144</v>
      </c>
      <c r="C30" t="s">
        <v>72</v>
      </c>
      <c r="D30" t="s">
        <v>145</v>
      </c>
      <c r="E30" t="s">
        <v>146</v>
      </c>
      <c r="F30" s="4">
        <v>41530.457123113425</v>
      </c>
      <c r="G30">
        <v>30</v>
      </c>
      <c r="H30" t="s">
        <v>71</v>
      </c>
      <c r="I30" s="4"/>
      <c r="K30" s="4">
        <v>41599.436920486114</v>
      </c>
      <c r="L30" s="4"/>
      <c r="N30" s="4"/>
      <c r="O30">
        <v>10</v>
      </c>
      <c r="P30">
        <v>10</v>
      </c>
      <c r="Q30">
        <v>1</v>
      </c>
      <c r="R30">
        <v>10</v>
      </c>
      <c r="S30" s="4">
        <v>41530.457123113425</v>
      </c>
      <c r="T30" t="s">
        <v>77</v>
      </c>
      <c r="U30" t="s">
        <v>73</v>
      </c>
      <c r="V30">
        <v>2</v>
      </c>
    </row>
    <row r="31" spans="1:22" x14ac:dyDescent="0.25">
      <c r="A31">
        <v>32</v>
      </c>
      <c r="B31" t="s">
        <v>147</v>
      </c>
      <c r="C31" t="s">
        <v>72</v>
      </c>
      <c r="D31" t="s">
        <v>148</v>
      </c>
      <c r="E31" t="s">
        <v>149</v>
      </c>
      <c r="F31" s="4">
        <v>41530.458977465278</v>
      </c>
      <c r="G31">
        <v>30</v>
      </c>
      <c r="H31" t="s">
        <v>71</v>
      </c>
      <c r="I31" s="4"/>
      <c r="K31" s="4"/>
      <c r="L31" s="4"/>
      <c r="N31" s="4"/>
      <c r="O31">
        <v>10</v>
      </c>
      <c r="P31">
        <v>10</v>
      </c>
      <c r="Q31">
        <v>1</v>
      </c>
      <c r="R31">
        <v>10</v>
      </c>
      <c r="S31" s="4">
        <v>41530.458977465278</v>
      </c>
      <c r="T31" t="s">
        <v>77</v>
      </c>
      <c r="U31" t="s">
        <v>73</v>
      </c>
      <c r="V31">
        <v>2</v>
      </c>
    </row>
    <row r="32" spans="1:22" x14ac:dyDescent="0.25">
      <c r="A32">
        <v>36</v>
      </c>
      <c r="B32" t="s">
        <v>150</v>
      </c>
      <c r="C32" t="s">
        <v>72</v>
      </c>
      <c r="D32" t="s">
        <v>150</v>
      </c>
      <c r="E32" t="s">
        <v>72</v>
      </c>
      <c r="F32" s="4">
        <v>41530.462138194445</v>
      </c>
      <c r="G32">
        <v>30</v>
      </c>
      <c r="H32" t="s">
        <v>71</v>
      </c>
      <c r="I32" s="4"/>
      <c r="K32" s="4"/>
      <c r="L32" s="4"/>
      <c r="N32" s="4"/>
      <c r="O32">
        <v>10</v>
      </c>
      <c r="P32">
        <v>10</v>
      </c>
      <c r="Q32">
        <v>1</v>
      </c>
      <c r="R32">
        <v>10</v>
      </c>
      <c r="S32" s="4">
        <v>41530.462138194445</v>
      </c>
      <c r="T32" t="s">
        <v>77</v>
      </c>
      <c r="U32" t="s">
        <v>73</v>
      </c>
      <c r="V32">
        <v>2</v>
      </c>
    </row>
    <row r="33" spans="1:22" x14ac:dyDescent="0.25">
      <c r="A33">
        <v>37</v>
      </c>
      <c r="B33" t="s">
        <v>151</v>
      </c>
      <c r="C33" t="s">
        <v>72</v>
      </c>
      <c r="D33" t="s">
        <v>152</v>
      </c>
      <c r="E33" t="s">
        <v>72</v>
      </c>
      <c r="F33" s="4">
        <v>41530.462877465281</v>
      </c>
      <c r="G33">
        <v>30</v>
      </c>
      <c r="H33" t="s">
        <v>71</v>
      </c>
      <c r="I33" s="4"/>
      <c r="K33" s="4"/>
      <c r="L33" s="4"/>
      <c r="N33" s="4"/>
      <c r="O33">
        <v>10</v>
      </c>
      <c r="P33">
        <v>10</v>
      </c>
      <c r="Q33">
        <v>1</v>
      </c>
      <c r="R33">
        <v>10</v>
      </c>
      <c r="S33" s="4">
        <v>41530.462877465281</v>
      </c>
      <c r="T33" t="s">
        <v>77</v>
      </c>
      <c r="U33" t="s">
        <v>73</v>
      </c>
      <c r="V33">
        <v>2</v>
      </c>
    </row>
    <row r="34" spans="1:22" x14ac:dyDescent="0.25">
      <c r="A34">
        <v>38</v>
      </c>
      <c r="B34" t="s">
        <v>153</v>
      </c>
      <c r="C34" t="s">
        <v>72</v>
      </c>
      <c r="D34" t="s">
        <v>154</v>
      </c>
      <c r="E34" t="s">
        <v>155</v>
      </c>
      <c r="F34" s="4">
        <v>41530.467408912038</v>
      </c>
      <c r="G34">
        <v>30</v>
      </c>
      <c r="H34" t="s">
        <v>71</v>
      </c>
      <c r="I34" s="4"/>
      <c r="K34" s="4"/>
      <c r="L34" s="4"/>
      <c r="N34" s="4"/>
      <c r="O34">
        <v>10</v>
      </c>
      <c r="P34">
        <v>10</v>
      </c>
      <c r="Q34">
        <v>1</v>
      </c>
      <c r="R34">
        <v>10</v>
      </c>
      <c r="S34" s="4">
        <v>41530.467408912038</v>
      </c>
      <c r="T34" t="s">
        <v>77</v>
      </c>
      <c r="U34" t="s">
        <v>73</v>
      </c>
      <c r="V34">
        <v>2</v>
      </c>
    </row>
    <row r="35" spans="1:22" x14ac:dyDescent="0.25">
      <c r="A35">
        <v>39</v>
      </c>
      <c r="B35" t="s">
        <v>156</v>
      </c>
      <c r="C35" t="s">
        <v>72</v>
      </c>
      <c r="D35" t="s">
        <v>157</v>
      </c>
      <c r="E35" t="s">
        <v>72</v>
      </c>
      <c r="F35" s="4">
        <v>41530.468055173609</v>
      </c>
      <c r="G35">
        <v>30</v>
      </c>
      <c r="H35" t="s">
        <v>71</v>
      </c>
      <c r="I35" s="4"/>
      <c r="K35" s="4"/>
      <c r="L35" s="4"/>
      <c r="N35" s="4"/>
      <c r="O35">
        <v>10</v>
      </c>
      <c r="P35">
        <v>10</v>
      </c>
      <c r="Q35">
        <v>1</v>
      </c>
      <c r="R35">
        <v>10</v>
      </c>
      <c r="S35" s="4">
        <v>41530.468055173609</v>
      </c>
      <c r="T35" t="s">
        <v>77</v>
      </c>
      <c r="U35" t="s">
        <v>73</v>
      </c>
      <c r="V35">
        <v>2</v>
      </c>
    </row>
    <row r="36" spans="1:22" x14ac:dyDescent="0.25">
      <c r="A36">
        <v>40</v>
      </c>
      <c r="B36" t="s">
        <v>158</v>
      </c>
      <c r="C36" t="s">
        <v>72</v>
      </c>
      <c r="D36" t="s">
        <v>159</v>
      </c>
      <c r="E36" t="s">
        <v>72</v>
      </c>
      <c r="F36" s="4">
        <v>41530.468063738423</v>
      </c>
      <c r="G36">
        <v>30</v>
      </c>
      <c r="H36" t="s">
        <v>71</v>
      </c>
      <c r="I36" s="4"/>
      <c r="J36" t="s">
        <v>72</v>
      </c>
      <c r="K36" s="4"/>
      <c r="L36" s="4"/>
      <c r="N36" s="4"/>
      <c r="O36">
        <v>10</v>
      </c>
      <c r="Q36">
        <v>0</v>
      </c>
      <c r="R36">
        <v>0</v>
      </c>
      <c r="S36" s="4">
        <v>41530.468063738423</v>
      </c>
      <c r="T36" t="s">
        <v>6</v>
      </c>
      <c r="U36" t="s">
        <v>73</v>
      </c>
      <c r="V36">
        <v>2</v>
      </c>
    </row>
    <row r="37" spans="1:22" x14ac:dyDescent="0.25">
      <c r="A37">
        <v>41</v>
      </c>
      <c r="B37" t="s">
        <v>160</v>
      </c>
      <c r="C37" t="s">
        <v>72</v>
      </c>
      <c r="D37" t="s">
        <v>160</v>
      </c>
      <c r="E37" t="s">
        <v>161</v>
      </c>
      <c r="F37" s="4">
        <v>41536.654518402778</v>
      </c>
      <c r="G37">
        <v>30</v>
      </c>
      <c r="H37" t="s">
        <v>71</v>
      </c>
      <c r="I37" s="4"/>
      <c r="K37" s="4"/>
      <c r="L37" s="4"/>
      <c r="N37" s="4"/>
      <c r="O37">
        <v>10</v>
      </c>
      <c r="P37">
        <v>10</v>
      </c>
      <c r="Q37">
        <v>1</v>
      </c>
      <c r="R37">
        <v>10</v>
      </c>
      <c r="S37" s="4">
        <v>41536.654518402778</v>
      </c>
      <c r="T37" t="s">
        <v>77</v>
      </c>
      <c r="U37" t="s">
        <v>73</v>
      </c>
      <c r="V37">
        <v>2</v>
      </c>
    </row>
    <row r="38" spans="1:22" x14ac:dyDescent="0.25">
      <c r="A38">
        <v>43</v>
      </c>
      <c r="B38" t="s">
        <v>162</v>
      </c>
      <c r="C38" t="s">
        <v>163</v>
      </c>
      <c r="D38" t="s">
        <v>164</v>
      </c>
      <c r="E38" t="s">
        <v>165</v>
      </c>
      <c r="F38" s="4">
        <v>41540.449850543984</v>
      </c>
      <c r="G38">
        <v>30</v>
      </c>
      <c r="H38" t="s">
        <v>71</v>
      </c>
      <c r="I38" s="4"/>
      <c r="J38" t="s">
        <v>72</v>
      </c>
      <c r="K38" s="4"/>
      <c r="L38" s="4"/>
      <c r="N38" s="4"/>
      <c r="O38">
        <v>10</v>
      </c>
      <c r="Q38">
        <v>0</v>
      </c>
      <c r="R38">
        <v>0</v>
      </c>
      <c r="S38" s="4">
        <v>41540.449850543984</v>
      </c>
      <c r="T38" t="s">
        <v>6</v>
      </c>
      <c r="U38" t="s">
        <v>73</v>
      </c>
      <c r="V38">
        <v>1</v>
      </c>
    </row>
    <row r="39" spans="1:22" x14ac:dyDescent="0.25">
      <c r="A39">
        <v>44</v>
      </c>
      <c r="B39" t="s">
        <v>162</v>
      </c>
      <c r="C39" t="s">
        <v>166</v>
      </c>
      <c r="D39" t="s">
        <v>162</v>
      </c>
      <c r="E39" t="s">
        <v>167</v>
      </c>
      <c r="F39" s="4">
        <v>41540.451344131943</v>
      </c>
      <c r="G39">
        <v>30</v>
      </c>
      <c r="H39" t="s">
        <v>71</v>
      </c>
      <c r="I39" s="4"/>
      <c r="K39" s="4"/>
      <c r="L39" s="4"/>
      <c r="N39" s="4"/>
      <c r="O39">
        <v>10</v>
      </c>
      <c r="P39">
        <v>0</v>
      </c>
      <c r="Q39">
        <v>0</v>
      </c>
      <c r="R39">
        <v>0</v>
      </c>
      <c r="S39" s="4">
        <v>41540.451344131943</v>
      </c>
      <c r="T39" t="s">
        <v>6</v>
      </c>
      <c r="U39" t="s">
        <v>122</v>
      </c>
      <c r="V39">
        <v>1</v>
      </c>
    </row>
    <row r="40" spans="1:22" x14ac:dyDescent="0.25">
      <c r="A40">
        <v>45</v>
      </c>
      <c r="B40" t="s">
        <v>168</v>
      </c>
      <c r="C40" t="s">
        <v>169</v>
      </c>
      <c r="D40" t="s">
        <v>170</v>
      </c>
      <c r="E40" t="s">
        <v>171</v>
      </c>
      <c r="F40" s="4">
        <v>41540.455358449071</v>
      </c>
      <c r="G40">
        <v>30</v>
      </c>
      <c r="H40" t="s">
        <v>71</v>
      </c>
      <c r="I40" s="4"/>
      <c r="K40" s="4"/>
      <c r="L40" s="4"/>
      <c r="N40" s="4"/>
      <c r="O40">
        <v>10</v>
      </c>
      <c r="P40">
        <v>0</v>
      </c>
      <c r="Q40">
        <v>0</v>
      </c>
      <c r="R40">
        <v>0</v>
      </c>
      <c r="S40" s="4">
        <v>41540.455358449071</v>
      </c>
      <c r="T40" t="s">
        <v>6</v>
      </c>
      <c r="U40" t="s">
        <v>73</v>
      </c>
      <c r="V40">
        <v>1</v>
      </c>
    </row>
    <row r="41" spans="1:22" x14ac:dyDescent="0.25">
      <c r="A41">
        <v>46</v>
      </c>
      <c r="B41" t="s">
        <v>172</v>
      </c>
      <c r="C41" t="s">
        <v>173</v>
      </c>
      <c r="D41" t="s">
        <v>174</v>
      </c>
      <c r="E41" t="s">
        <v>175</v>
      </c>
      <c r="F41" s="4">
        <v>41540.457380173611</v>
      </c>
      <c r="G41">
        <v>30</v>
      </c>
      <c r="H41" t="s">
        <v>71</v>
      </c>
      <c r="I41" s="4"/>
      <c r="K41" s="4"/>
      <c r="L41" s="4"/>
      <c r="N41" s="4"/>
      <c r="O41">
        <v>10</v>
      </c>
      <c r="P41">
        <v>0</v>
      </c>
      <c r="Q41">
        <v>0</v>
      </c>
      <c r="R41">
        <v>0</v>
      </c>
      <c r="S41" s="4">
        <v>41540.457380173611</v>
      </c>
      <c r="T41" t="s">
        <v>6</v>
      </c>
      <c r="U41" t="s">
        <v>73</v>
      </c>
      <c r="V41">
        <v>1</v>
      </c>
    </row>
    <row r="42" spans="1:22" x14ac:dyDescent="0.25">
      <c r="A42">
        <v>47</v>
      </c>
      <c r="B42" t="s">
        <v>176</v>
      </c>
      <c r="C42" t="s">
        <v>177</v>
      </c>
      <c r="D42" t="s">
        <v>178</v>
      </c>
      <c r="E42" t="s">
        <v>179</v>
      </c>
      <c r="F42" s="4">
        <v>41541.586158182872</v>
      </c>
      <c r="G42">
        <v>30</v>
      </c>
      <c r="H42" t="s">
        <v>71</v>
      </c>
      <c r="I42" s="4"/>
      <c r="K42" s="4">
        <v>41541.586516782409</v>
      </c>
      <c r="L42" s="4">
        <v>41541.58657994213</v>
      </c>
      <c r="N42" s="4"/>
      <c r="O42">
        <v>10</v>
      </c>
      <c r="P42">
        <v>10</v>
      </c>
      <c r="Q42">
        <v>1</v>
      </c>
      <c r="R42">
        <v>10</v>
      </c>
      <c r="S42" s="4">
        <v>41541.57332491898</v>
      </c>
      <c r="T42" t="s">
        <v>6</v>
      </c>
      <c r="U42" t="s">
        <v>73</v>
      </c>
      <c r="V42">
        <v>1</v>
      </c>
    </row>
    <row r="43" spans="1:22" x14ac:dyDescent="0.25">
      <c r="A43">
        <v>48</v>
      </c>
      <c r="B43" t="s">
        <v>180</v>
      </c>
      <c r="C43" t="s">
        <v>181</v>
      </c>
      <c r="D43" t="s">
        <v>182</v>
      </c>
      <c r="E43" t="s">
        <v>183</v>
      </c>
      <c r="F43" s="4">
        <v>41541.595982604165</v>
      </c>
      <c r="G43">
        <v>30</v>
      </c>
      <c r="H43" t="s">
        <v>71</v>
      </c>
      <c r="I43" s="4"/>
      <c r="K43" s="4"/>
      <c r="L43" s="4"/>
      <c r="N43" s="4"/>
      <c r="O43">
        <v>10</v>
      </c>
      <c r="P43">
        <v>10</v>
      </c>
      <c r="Q43">
        <v>1</v>
      </c>
      <c r="R43">
        <v>10</v>
      </c>
      <c r="S43" s="4">
        <v>41541.589892164353</v>
      </c>
      <c r="T43" t="s">
        <v>6</v>
      </c>
      <c r="U43" t="s">
        <v>73</v>
      </c>
      <c r="V43">
        <v>1</v>
      </c>
    </row>
    <row r="44" spans="1:22" x14ac:dyDescent="0.25">
      <c r="A44">
        <v>49</v>
      </c>
      <c r="B44" t="s">
        <v>184</v>
      </c>
      <c r="C44" t="s">
        <v>72</v>
      </c>
      <c r="D44" t="s">
        <v>185</v>
      </c>
      <c r="E44" t="s">
        <v>186</v>
      </c>
      <c r="F44" s="4">
        <v>41598.827314930553</v>
      </c>
      <c r="G44">
        <v>30</v>
      </c>
      <c r="H44" t="s">
        <v>71</v>
      </c>
      <c r="I44" s="4"/>
      <c r="K44" s="4">
        <v>41598.848189502314</v>
      </c>
      <c r="L44" s="4"/>
      <c r="N44" s="4"/>
      <c r="O44">
        <v>10</v>
      </c>
      <c r="P44">
        <v>10</v>
      </c>
      <c r="Q44">
        <v>1</v>
      </c>
      <c r="R44">
        <v>10</v>
      </c>
      <c r="S44" s="4">
        <v>41598.827314930553</v>
      </c>
      <c r="T44" t="s">
        <v>77</v>
      </c>
      <c r="U44" t="s">
        <v>73</v>
      </c>
      <c r="V44">
        <v>2</v>
      </c>
    </row>
    <row r="48" spans="1:22" x14ac:dyDescent="0.25">
      <c r="F48">
        <v>10</v>
      </c>
    </row>
    <row r="49" spans="6:6" x14ac:dyDescent="0.25">
      <c r="F49">
        <v>20</v>
      </c>
    </row>
    <row r="50" spans="6:6" x14ac:dyDescent="0.25">
      <c r="F50">
        <f>SUM(F48:F49)</f>
        <v>30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6:J23"/>
  <sheetViews>
    <sheetView workbookViewId="0">
      <selection activeCell="D24" sqref="D24"/>
    </sheetView>
  </sheetViews>
  <sheetFormatPr defaultRowHeight="15" x14ac:dyDescent="0.25"/>
  <cols>
    <col min="1" max="1" width="45" bestFit="1" customWidth="1"/>
    <col min="2" max="2" width="56.7109375" bestFit="1" customWidth="1"/>
    <col min="3" max="3" width="11" bestFit="1" customWidth="1"/>
    <col min="4" max="4" width="15.85546875" bestFit="1" customWidth="1"/>
    <col min="5" max="5" width="10.7109375" bestFit="1" customWidth="1"/>
    <col min="6" max="6" width="17.42578125" bestFit="1" customWidth="1"/>
    <col min="7" max="7" width="8.140625" bestFit="1" customWidth="1"/>
    <col min="8" max="8" width="16.5703125" bestFit="1" customWidth="1"/>
    <col min="9" max="9" width="7" bestFit="1" customWidth="1"/>
    <col min="10" max="10" width="5.140625" bestFit="1" customWidth="1"/>
  </cols>
  <sheetData>
    <row r="6" spans="1:10" x14ac:dyDescent="0.25">
      <c r="A6" t="s">
        <v>187</v>
      </c>
      <c r="B6" t="s">
        <v>188</v>
      </c>
      <c r="C6" t="s">
        <v>189</v>
      </c>
      <c r="D6" t="s">
        <v>190</v>
      </c>
      <c r="E6" t="s">
        <v>191</v>
      </c>
      <c r="F6" t="s">
        <v>192</v>
      </c>
      <c r="G6" t="s">
        <v>193</v>
      </c>
      <c r="H6" t="s">
        <v>194</v>
      </c>
      <c r="I6" t="s">
        <v>195</v>
      </c>
      <c r="J6" t="s">
        <v>196</v>
      </c>
    </row>
    <row r="11" spans="1:10" x14ac:dyDescent="0.25">
      <c r="A11" t="s">
        <v>197</v>
      </c>
    </row>
    <row r="21" spans="2:4" x14ac:dyDescent="0.25">
      <c r="D21">
        <v>10</v>
      </c>
    </row>
    <row r="22" spans="2:4" x14ac:dyDescent="0.25">
      <c r="D22">
        <v>20</v>
      </c>
    </row>
    <row r="23" spans="2:4" x14ac:dyDescent="0.25">
      <c r="B23" t="s">
        <v>198</v>
      </c>
      <c r="D23">
        <f>SUM(D21:D22)</f>
        <v>30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E20"/>
  <sheetViews>
    <sheetView workbookViewId="0">
      <selection activeCell="E21" sqref="E21"/>
    </sheetView>
  </sheetViews>
  <sheetFormatPr defaultRowHeight="15" x14ac:dyDescent="0.25"/>
  <cols>
    <col min="1" max="1" width="52.42578125" bestFit="1" customWidth="1"/>
    <col min="2" max="2" width="54.5703125" bestFit="1" customWidth="1"/>
  </cols>
  <sheetData>
    <row r="1" spans="1:2" x14ac:dyDescent="0.25">
      <c r="B1" t="s">
        <v>199</v>
      </c>
    </row>
    <row r="3" spans="1:2" x14ac:dyDescent="0.25">
      <c r="A3" t="s">
        <v>200</v>
      </c>
    </row>
    <row r="4" spans="1:2" x14ac:dyDescent="0.25">
      <c r="B4" t="s">
        <v>201</v>
      </c>
    </row>
    <row r="5" spans="1:2" x14ac:dyDescent="0.25">
      <c r="B5" t="s">
        <v>202</v>
      </c>
    </row>
    <row r="9" spans="1:2" x14ac:dyDescent="0.25">
      <c r="A9" t="s">
        <v>203</v>
      </c>
    </row>
    <row r="11" spans="1:2" x14ac:dyDescent="0.25">
      <c r="A11" t="s">
        <v>204</v>
      </c>
      <c r="B11" t="s">
        <v>297</v>
      </c>
    </row>
    <row r="12" spans="1:2" x14ac:dyDescent="0.25">
      <c r="A12" t="s">
        <v>205</v>
      </c>
    </row>
    <row r="13" spans="1:2" x14ac:dyDescent="0.25">
      <c r="A13" t="s">
        <v>206</v>
      </c>
    </row>
    <row r="18" spans="5:5" x14ac:dyDescent="0.25">
      <c r="E18">
        <v>10</v>
      </c>
    </row>
    <row r="19" spans="5:5" x14ac:dyDescent="0.25">
      <c r="E19">
        <v>20</v>
      </c>
    </row>
    <row r="20" spans="5:5" x14ac:dyDescent="0.25">
      <c r="E20">
        <f>SUM(E18:E19)</f>
        <v>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O63"/>
  <sheetViews>
    <sheetView topLeftCell="H1" workbookViewId="0">
      <selection activeCell="L5" sqref="L5"/>
    </sheetView>
  </sheetViews>
  <sheetFormatPr defaultRowHeight="15" x14ac:dyDescent="0.25"/>
  <cols>
    <col min="1" max="1" width="37.5703125" bestFit="1" customWidth="1"/>
    <col min="2" max="2" width="9.7109375" bestFit="1" customWidth="1"/>
    <col min="5" max="5" width="9.7109375" bestFit="1" customWidth="1"/>
    <col min="12" max="12" width="48.140625" bestFit="1" customWidth="1"/>
  </cols>
  <sheetData>
    <row r="1" spans="1:15" x14ac:dyDescent="0.25">
      <c r="A1">
        <v>1</v>
      </c>
      <c r="B1">
        <v>1</v>
      </c>
      <c r="C1">
        <v>1</v>
      </c>
      <c r="D1">
        <v>4</v>
      </c>
      <c r="E1">
        <v>1</v>
      </c>
      <c r="M1" s="22"/>
      <c r="N1" s="23"/>
      <c r="O1" s="24"/>
    </row>
    <row r="2" spans="1:15" x14ac:dyDescent="0.25">
      <c r="A2">
        <v>2</v>
      </c>
      <c r="B2">
        <v>2</v>
      </c>
      <c r="C2">
        <v>4</v>
      </c>
      <c r="D2">
        <v>2</v>
      </c>
      <c r="E2" t="s">
        <v>7</v>
      </c>
      <c r="M2" s="22"/>
      <c r="N2" s="23"/>
      <c r="O2" s="24"/>
    </row>
    <row r="3" spans="1:15" x14ac:dyDescent="0.25">
      <c r="A3">
        <f>SUM(A1:A2)</f>
        <v>3</v>
      </c>
      <c r="B3">
        <f>AVERAGE(B1:B2)</f>
        <v>1.5</v>
      </c>
      <c r="C3">
        <f>SUM(C1:C2)</f>
        <v>5</v>
      </c>
      <c r="D3">
        <f>AVERAGE(D1:D2)</f>
        <v>3</v>
      </c>
      <c r="E3">
        <f>SUM(E1:E2)</f>
        <v>1</v>
      </c>
      <c r="F3" t="s">
        <v>216</v>
      </c>
      <c r="M3" s="22"/>
      <c r="N3" s="23"/>
      <c r="O3" s="24"/>
    </row>
    <row r="4" spans="1:15" x14ac:dyDescent="0.25">
      <c r="M4" s="22"/>
      <c r="N4" s="23"/>
      <c r="O4" s="24"/>
    </row>
    <row r="5" spans="1:15" x14ac:dyDescent="0.25">
      <c r="M5" s="22"/>
      <c r="N5" s="23"/>
      <c r="O5" s="24" t="s">
        <v>72</v>
      </c>
    </row>
    <row r="6" spans="1:15" x14ac:dyDescent="0.25">
      <c r="M6" s="22"/>
      <c r="N6" s="23"/>
      <c r="O6" s="24"/>
    </row>
    <row r="7" spans="1:15" x14ac:dyDescent="0.25">
      <c r="M7" s="22"/>
      <c r="N7" s="23"/>
      <c r="O7" s="24"/>
    </row>
    <row r="8" spans="1:15" x14ac:dyDescent="0.25">
      <c r="A8" t="s">
        <v>212</v>
      </c>
      <c r="C8">
        <f t="array" ref="C8">SUM(A3:D3)</f>
        <v>12.5</v>
      </c>
      <c r="M8" s="22"/>
      <c r="N8" s="23"/>
      <c r="O8" s="24"/>
    </row>
    <row r="9" spans="1:15" x14ac:dyDescent="0.25">
      <c r="M9" s="22"/>
      <c r="N9" s="23"/>
      <c r="O9" s="24"/>
    </row>
    <row r="10" spans="1:15" x14ac:dyDescent="0.25">
      <c r="A10" t="s">
        <v>213</v>
      </c>
      <c r="D10" s="5">
        <f>SUM(A2:D2)</f>
        <v>10</v>
      </c>
      <c r="M10" s="22"/>
      <c r="N10" s="23"/>
      <c r="O10" s="24"/>
    </row>
    <row r="11" spans="1:15" x14ac:dyDescent="0.25">
      <c r="M11" s="22"/>
      <c r="N11" s="23"/>
      <c r="O11" s="24" t="s">
        <v>72</v>
      </c>
    </row>
    <row r="12" spans="1:15" x14ac:dyDescent="0.25">
      <c r="A12" t="s">
        <v>214</v>
      </c>
      <c r="D12" s="5">
        <f>SUM(D10,C8)+1000</f>
        <v>1022.5</v>
      </c>
      <c r="M12" s="22"/>
      <c r="N12" s="23"/>
      <c r="O12" s="24"/>
    </row>
    <row r="13" spans="1:15" x14ac:dyDescent="0.25">
      <c r="M13" s="22"/>
      <c r="N13" s="23"/>
      <c r="O13" s="24" t="s">
        <v>72</v>
      </c>
    </row>
    <row r="14" spans="1:15" x14ac:dyDescent="0.25">
      <c r="A14" t="s">
        <v>215</v>
      </c>
      <c r="D14" s="5">
        <f>D12+D10+D8</f>
        <v>1032.5</v>
      </c>
      <c r="M14" s="22"/>
      <c r="N14" s="23"/>
      <c r="O14" s="24" t="s">
        <v>72</v>
      </c>
    </row>
    <row r="15" spans="1:15" x14ac:dyDescent="0.25">
      <c r="M15" s="22"/>
      <c r="N15" s="23"/>
      <c r="O15" s="24" t="s">
        <v>72</v>
      </c>
    </row>
    <row r="16" spans="1:15" x14ac:dyDescent="0.25">
      <c r="M16" s="22"/>
      <c r="N16" s="23"/>
      <c r="O16" s="24"/>
    </row>
    <row r="17" spans="1:15" x14ac:dyDescent="0.25">
      <c r="A17" t="s">
        <v>217</v>
      </c>
      <c r="D17">
        <f>SUM(D18:D24)</f>
        <v>35</v>
      </c>
      <c r="M17" s="22"/>
      <c r="N17" s="23"/>
      <c r="O17" s="24" t="s">
        <v>72</v>
      </c>
    </row>
    <row r="18" spans="1:15" x14ac:dyDescent="0.25">
      <c r="D18">
        <v>1</v>
      </c>
      <c r="O18" s="24"/>
    </row>
    <row r="19" spans="1:15" x14ac:dyDescent="0.25">
      <c r="D19">
        <v>2</v>
      </c>
      <c r="O19" s="24"/>
    </row>
    <row r="20" spans="1:15" x14ac:dyDescent="0.25">
      <c r="D20">
        <v>3</v>
      </c>
      <c r="O20" s="24"/>
    </row>
    <row r="21" spans="1:15" hidden="1" x14ac:dyDescent="0.25">
      <c r="A21" t="s">
        <v>218</v>
      </c>
      <c r="D21">
        <f>'Hidden Row'!A15</f>
        <v>11</v>
      </c>
      <c r="I21">
        <v>1</v>
      </c>
      <c r="O21" s="24"/>
    </row>
    <row r="22" spans="1:15" x14ac:dyDescent="0.25">
      <c r="D22">
        <v>5</v>
      </c>
      <c r="I22">
        <v>2</v>
      </c>
      <c r="O22" s="24"/>
    </row>
    <row r="23" spans="1:15" x14ac:dyDescent="0.25">
      <c r="D23">
        <v>6</v>
      </c>
      <c r="I23">
        <f>SUM(I21:I22)</f>
        <v>3</v>
      </c>
      <c r="O23" s="24"/>
    </row>
    <row r="24" spans="1:15" x14ac:dyDescent="0.25">
      <c r="D24">
        <v>7</v>
      </c>
      <c r="G24">
        <v>1</v>
      </c>
      <c r="I24">
        <f>SUM(D24:H24)</f>
        <v>8</v>
      </c>
      <c r="O24" s="24" t="s">
        <v>72</v>
      </c>
    </row>
    <row r="25" spans="1:15" x14ac:dyDescent="0.25">
      <c r="G25">
        <v>2</v>
      </c>
      <c r="O25" s="24" t="s">
        <v>72</v>
      </c>
    </row>
    <row r="26" spans="1:15" x14ac:dyDescent="0.25">
      <c r="G26">
        <f>SUM(G24:G25)</f>
        <v>3</v>
      </c>
      <c r="O26" s="24" t="s">
        <v>72</v>
      </c>
    </row>
    <row r="27" spans="1:15" x14ac:dyDescent="0.25">
      <c r="O27" s="24" t="s">
        <v>72</v>
      </c>
    </row>
    <row r="28" spans="1:15" x14ac:dyDescent="0.25">
      <c r="O28" s="24" t="s">
        <v>72</v>
      </c>
    </row>
    <row r="29" spans="1:15" x14ac:dyDescent="0.25">
      <c r="O29" s="24" t="s">
        <v>72</v>
      </c>
    </row>
    <row r="30" spans="1:15" x14ac:dyDescent="0.25">
      <c r="A30" t="s">
        <v>237</v>
      </c>
      <c r="B30" s="20">
        <v>1</v>
      </c>
      <c r="C30" s="20">
        <v>1</v>
      </c>
      <c r="D30" s="21">
        <v>1</v>
      </c>
      <c r="E30" s="20">
        <f>SUM(B30:D30)</f>
        <v>3</v>
      </c>
      <c r="M30" s="22"/>
      <c r="N30" s="23"/>
      <c r="O30" s="24"/>
    </row>
    <row r="31" spans="1:15" x14ac:dyDescent="0.25">
      <c r="O31" s="24" t="s">
        <v>72</v>
      </c>
    </row>
    <row r="32" spans="1:15" x14ac:dyDescent="0.25">
      <c r="A32" t="s">
        <v>238</v>
      </c>
      <c r="B32">
        <v>15</v>
      </c>
      <c r="C32">
        <v>30</v>
      </c>
      <c r="D32">
        <v>15</v>
      </c>
      <c r="E32">
        <f>-SUM(B32:D32)</f>
        <v>-60</v>
      </c>
      <c r="M32" s="22"/>
      <c r="N32" s="23"/>
      <c r="O32" s="24"/>
    </row>
    <row r="33" spans="1:15" x14ac:dyDescent="0.25">
      <c r="A33" t="s">
        <v>239</v>
      </c>
      <c r="B33" s="40">
        <v>1</v>
      </c>
      <c r="C33" s="40"/>
      <c r="D33" s="40"/>
      <c r="E33" s="40"/>
      <c r="L33" s="25"/>
      <c r="M33" s="22"/>
      <c r="N33" s="23"/>
      <c r="O33" s="24"/>
    </row>
    <row r="34" spans="1:15" x14ac:dyDescent="0.25">
      <c r="A34" t="s">
        <v>240</v>
      </c>
    </row>
    <row r="35" spans="1:15" x14ac:dyDescent="0.25">
      <c r="A35" t="s">
        <v>241</v>
      </c>
      <c r="B35" t="str">
        <f>IF(B32&gt;15,IF(C32&gt;25,"Yes","No"),"T")</f>
        <v>T</v>
      </c>
      <c r="M35" s="22"/>
      <c r="N35" s="23"/>
      <c r="O35" s="24"/>
    </row>
    <row r="36" spans="1:15" x14ac:dyDescent="0.25">
      <c r="A36" t="s">
        <v>242</v>
      </c>
      <c r="B36">
        <v>1</v>
      </c>
      <c r="C36">
        <v>2</v>
      </c>
      <c r="D36">
        <v>3</v>
      </c>
      <c r="E36">
        <v>4</v>
      </c>
      <c r="G36">
        <f>SUM(C36:E36,,,,)</f>
        <v>9</v>
      </c>
    </row>
    <row r="37" spans="1:15" x14ac:dyDescent="0.25">
      <c r="A37" t="s">
        <v>243</v>
      </c>
      <c r="B37">
        <f>SUM(TestAudit)</f>
        <v>35</v>
      </c>
      <c r="L37" s="25"/>
      <c r="M37" s="22"/>
      <c r="N37" s="23"/>
      <c r="O37" s="24"/>
    </row>
    <row r="38" spans="1:15" x14ac:dyDescent="0.25">
      <c r="A38" t="s">
        <v>244</v>
      </c>
      <c r="B38" s="27">
        <v>1</v>
      </c>
      <c r="C38" s="27">
        <v>2</v>
      </c>
      <c r="D38" s="27">
        <v>3</v>
      </c>
      <c r="E38" s="27" t="s">
        <v>251</v>
      </c>
      <c r="F38" s="27">
        <v>6</v>
      </c>
      <c r="G38" s="27">
        <v>7</v>
      </c>
      <c r="L38" s="25"/>
      <c r="M38" s="22"/>
      <c r="N38" s="23"/>
      <c r="O38" s="24"/>
    </row>
    <row r="39" spans="1:15" x14ac:dyDescent="0.25">
      <c r="A39" t="s">
        <v>245</v>
      </c>
      <c r="B39">
        <v>1</v>
      </c>
      <c r="L39" s="26"/>
      <c r="M39" s="22"/>
      <c r="N39" s="23"/>
      <c r="O39" s="24"/>
    </row>
    <row r="40" spans="1:15" x14ac:dyDescent="0.25">
      <c r="B40">
        <v>2</v>
      </c>
      <c r="M40" s="22"/>
      <c r="N40" s="23"/>
      <c r="O40" s="24"/>
    </row>
    <row r="41" spans="1:15" x14ac:dyDescent="0.25">
      <c r="L41" s="25"/>
      <c r="M41" s="22"/>
      <c r="N41" s="23"/>
      <c r="O41" s="24"/>
    </row>
    <row r="42" spans="1:15" x14ac:dyDescent="0.25">
      <c r="B42">
        <v>3</v>
      </c>
      <c r="M42" s="22"/>
      <c r="N42" s="23"/>
      <c r="O42" s="24"/>
    </row>
    <row r="43" spans="1:15" x14ac:dyDescent="0.25">
      <c r="M43" s="22"/>
      <c r="N43" s="23"/>
      <c r="O43" s="24"/>
    </row>
    <row r="44" spans="1:15" x14ac:dyDescent="0.25">
      <c r="M44" s="22"/>
      <c r="N44" s="23"/>
      <c r="O44" s="24"/>
    </row>
    <row r="45" spans="1:15" x14ac:dyDescent="0.25">
      <c r="L45" s="26"/>
      <c r="M45" s="22"/>
      <c r="N45" s="23"/>
      <c r="O45" s="24"/>
    </row>
    <row r="46" spans="1:15" x14ac:dyDescent="0.25">
      <c r="A46" t="s">
        <v>246</v>
      </c>
      <c r="B46">
        <f ca="1">E46</f>
        <v>0</v>
      </c>
      <c r="C46">
        <f ca="1">B46</f>
        <v>1</v>
      </c>
      <c r="E46">
        <f ca="1">SUM(B46:C46)</f>
        <v>2</v>
      </c>
    </row>
    <row r="47" spans="1:15" x14ac:dyDescent="0.25">
      <c r="A47" t="s">
        <v>247</v>
      </c>
      <c r="B47" s="28">
        <f>10.5/9.5</f>
        <v>1.1052631578947369</v>
      </c>
    </row>
    <row r="48" spans="1:15" x14ac:dyDescent="0.25">
      <c r="A48" t="s">
        <v>248</v>
      </c>
      <c r="B48">
        <f>MOD(100,3)</f>
        <v>1</v>
      </c>
    </row>
    <row r="49" spans="1:5" x14ac:dyDescent="0.25">
      <c r="A49" t="s">
        <v>249</v>
      </c>
      <c r="B49">
        <v>7.5</v>
      </c>
    </row>
    <row r="50" spans="1:5" x14ac:dyDescent="0.25">
      <c r="B50">
        <v>4</v>
      </c>
    </row>
    <row r="51" spans="1:5" x14ac:dyDescent="0.25">
      <c r="B51">
        <v>3</v>
      </c>
    </row>
    <row r="52" spans="1:5" x14ac:dyDescent="0.25">
      <c r="B52">
        <v>2.5</v>
      </c>
    </row>
    <row r="53" spans="1:5" x14ac:dyDescent="0.25">
      <c r="B53">
        <v>4.5</v>
      </c>
    </row>
    <row r="54" spans="1:5" x14ac:dyDescent="0.25">
      <c r="B54">
        <v>6.2</v>
      </c>
    </row>
    <row r="56" spans="1:5" x14ac:dyDescent="0.25">
      <c r="A56" t="s">
        <v>250</v>
      </c>
      <c r="C56">
        <v>1</v>
      </c>
      <c r="D56">
        <v>4</v>
      </c>
      <c r="E56">
        <v>7</v>
      </c>
    </row>
    <row r="57" spans="1:5" x14ac:dyDescent="0.25">
      <c r="C57">
        <v>2</v>
      </c>
      <c r="D57">
        <v>5</v>
      </c>
      <c r="E57">
        <v>8</v>
      </c>
    </row>
    <row r="58" spans="1:5" x14ac:dyDescent="0.25">
      <c r="C58">
        <f>SUM(C56:C57)</f>
        <v>3</v>
      </c>
      <c r="D58">
        <v>6</v>
      </c>
      <c r="E58">
        <f>SUM(E56:E57)</f>
        <v>15</v>
      </c>
    </row>
    <row r="60" spans="1:5" x14ac:dyDescent="0.25">
      <c r="A60" t="s">
        <v>252</v>
      </c>
      <c r="B60" s="3">
        <f ca="1">E63</f>
        <v>45798.594781134256</v>
      </c>
    </row>
    <row r="63" spans="1:5" x14ac:dyDescent="0.25">
      <c r="E63" s="3">
        <f ca="1">NOW()</f>
        <v>45798.594781134256</v>
      </c>
    </row>
  </sheetData>
  <sheetProtection password="CF4C" sheet="1" objects="1" scenarios="1"/>
  <mergeCells count="1">
    <mergeCell ref="B33:E33"/>
  </mergeCells>
  <conditionalFormatting sqref="B49:B54">
    <cfRule type="cellIs" dxfId="5" priority="1" stopIfTrue="1" operator="lessThan">
      <formula>5</formula>
    </cfRule>
    <cfRule type="cellIs" dxfId="4" priority="2" stopIfTrue="1" operator="greaterThan">
      <formula>5</formula>
    </cfRule>
  </conditionalFormatting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/>
  <dimension ref="A1:L23"/>
  <sheetViews>
    <sheetView workbookViewId="0">
      <selection activeCell="L24" sqref="L24"/>
    </sheetView>
  </sheetViews>
  <sheetFormatPr defaultRowHeight="15" x14ac:dyDescent="0.25"/>
  <sheetData>
    <row r="1" spans="1:2" x14ac:dyDescent="0.25">
      <c r="A1">
        <v>1</v>
      </c>
    </row>
    <row r="2" spans="1:2" x14ac:dyDescent="0.25">
      <c r="A2" s="6">
        <v>2</v>
      </c>
      <c r="B2" t="s">
        <v>220</v>
      </c>
    </row>
    <row r="3" spans="1:2" x14ac:dyDescent="0.25">
      <c r="A3">
        <v>3</v>
      </c>
      <c r="B3" t="s">
        <v>219</v>
      </c>
    </row>
    <row r="5" spans="1:2" x14ac:dyDescent="0.25">
      <c r="A5" s="7">
        <v>9</v>
      </c>
      <c r="B5" t="s">
        <v>221</v>
      </c>
    </row>
    <row r="7" spans="1:2" x14ac:dyDescent="0.25">
      <c r="A7" s="7">
        <v>23</v>
      </c>
      <c r="B7" t="s">
        <v>221</v>
      </c>
    </row>
    <row r="9" spans="1:2" x14ac:dyDescent="0.25">
      <c r="A9" s="29">
        <v>25</v>
      </c>
      <c r="B9" t="s">
        <v>221</v>
      </c>
    </row>
    <row r="21" spans="12:12" x14ac:dyDescent="0.25">
      <c r="L21">
        <v>10</v>
      </c>
    </row>
    <row r="22" spans="12:12" x14ac:dyDescent="0.25">
      <c r="L22">
        <v>20</v>
      </c>
    </row>
    <row r="23" spans="12:12" x14ac:dyDescent="0.25">
      <c r="L23">
        <f>SUM(L21:L22)</f>
        <v>30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A1:B2"/>
  <sheetViews>
    <sheetView workbookViewId="0">
      <selection activeCell="A2" sqref="A2"/>
    </sheetView>
  </sheetViews>
  <sheetFormatPr defaultRowHeight="15" x14ac:dyDescent="0.25"/>
  <sheetData>
    <row r="1" spans="1:2" x14ac:dyDescent="0.25">
      <c r="A1">
        <f>[2]Sheet1!$A$1</f>
        <v>1</v>
      </c>
      <c r="B1" t="s">
        <v>207</v>
      </c>
    </row>
    <row r="2" spans="1:2" x14ac:dyDescent="0.25">
      <c r="A2">
        <f>[3]Sheet1!$A$3</f>
        <v>3</v>
      </c>
      <c r="B2" t="s">
        <v>208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/>
  <dimension ref="A1:C10"/>
  <sheetViews>
    <sheetView workbookViewId="0">
      <selection activeCell="G9" sqref="G8:G9"/>
    </sheetView>
  </sheetViews>
  <sheetFormatPr defaultRowHeight="15" x14ac:dyDescent="0.25"/>
  <cols>
    <col min="2" max="2" width="10.7109375" bestFit="1" customWidth="1"/>
  </cols>
  <sheetData>
    <row r="1" spans="1:3" x14ac:dyDescent="0.25">
      <c r="A1" t="s">
        <v>3</v>
      </c>
      <c r="B1" t="s">
        <v>209</v>
      </c>
    </row>
    <row r="2" spans="1:3" x14ac:dyDescent="0.25">
      <c r="A2">
        <v>1</v>
      </c>
      <c r="B2" t="s">
        <v>210</v>
      </c>
      <c r="C2" t="s">
        <v>255</v>
      </c>
    </row>
    <row r="3" spans="1:3" x14ac:dyDescent="0.25">
      <c r="A3">
        <v>2</v>
      </c>
      <c r="B3">
        <v>1</v>
      </c>
      <c r="C3" t="s">
        <v>256</v>
      </c>
    </row>
    <row r="4" spans="1:3" x14ac:dyDescent="0.25">
      <c r="A4">
        <v>3</v>
      </c>
      <c r="B4">
        <v>2</v>
      </c>
      <c r="C4" t="s">
        <v>257</v>
      </c>
    </row>
    <row r="5" spans="1:3" x14ac:dyDescent="0.25">
      <c r="A5">
        <v>4</v>
      </c>
      <c r="B5" t="s">
        <v>263</v>
      </c>
      <c r="C5" t="s">
        <v>258</v>
      </c>
    </row>
    <row r="6" spans="1:3" x14ac:dyDescent="0.25">
      <c r="A6">
        <v>5</v>
      </c>
      <c r="B6" t="s">
        <v>264</v>
      </c>
      <c r="C6" t="s">
        <v>259</v>
      </c>
    </row>
    <row r="7" spans="1:3" x14ac:dyDescent="0.25">
      <c r="A7">
        <v>6</v>
      </c>
      <c r="B7" s="3">
        <v>41983</v>
      </c>
      <c r="C7" t="s">
        <v>262</v>
      </c>
    </row>
    <row r="8" spans="1:3" x14ac:dyDescent="0.25">
      <c r="A8">
        <v>7</v>
      </c>
      <c r="B8">
        <v>3</v>
      </c>
      <c r="C8" t="s">
        <v>260</v>
      </c>
    </row>
    <row r="9" spans="1:3" x14ac:dyDescent="0.25">
      <c r="A9">
        <v>8</v>
      </c>
      <c r="B9" s="30">
        <v>0.10069444444444443</v>
      </c>
      <c r="C9" t="s">
        <v>261</v>
      </c>
    </row>
    <row r="10" spans="1:3" x14ac:dyDescent="0.25">
      <c r="A10">
        <v>9</v>
      </c>
    </row>
  </sheetData>
  <dataValidations count="8">
    <dataValidation type="list" allowBlank="1" showInputMessage="1" showErrorMessage="1" sqref="B2" xr:uid="{00000000-0002-0000-1200-000000000000}">
      <formula1>"Dotnet,VB,Java"</formula1>
    </dataValidation>
    <dataValidation type="decimal" errorStyle="information" allowBlank="1" showInputMessage="1" showErrorMessage="1" errorTitle="Info Title" error="Error Message_x000a_" promptTitle="Title" prompt="Inout Message" sqref="B3" xr:uid="{00000000-0002-0000-1200-000001000000}">
      <formula1>1</formula1>
      <formula2>100</formula2>
    </dataValidation>
    <dataValidation type="textLength" errorStyle="warning" allowBlank="1" showInputMessage="1" showErrorMessage="1" errorTitle="Text Length" error="Text Length" promptTitle="Text Length" prompt="Text Length" sqref="B5" xr:uid="{00000000-0002-0000-1200-000002000000}">
      <formula1>10</formula1>
      <formula2>15</formula2>
    </dataValidation>
    <dataValidation type="custom" errorStyle="warning" allowBlank="1" showInputMessage="1" showErrorMessage="1" errorTitle="Custom" error="Custom" promptTitle="Custom" prompt="Custom" sqref="B6" xr:uid="{00000000-0002-0000-1200-000003000000}">
      <formula1>SUM(G1:G4)</formula1>
    </dataValidation>
    <dataValidation type="date" operator="notEqual" sqref="B7" xr:uid="{00000000-0002-0000-1200-000004000000}">
      <formula1>41640</formula1>
    </dataValidation>
    <dataValidation type="whole" operator="notBetween" allowBlank="1" showInputMessage="1" showErrorMessage="1" errorTitle="whole number" error="whole number" promptTitle="whole number" prompt="whole number" sqref="B8" xr:uid="{00000000-0002-0000-1200-000005000000}">
      <formula1>1</formula1>
      <formula2>100</formula2>
    </dataValidation>
    <dataValidation type="time" errorStyle="warning" operator="greaterThanOrEqual" allowBlank="1" showInputMessage="1" showErrorMessage="1" errorTitle="Time" error="Time" promptTitle="Time" prompt="Time" sqref="B9" xr:uid="{00000000-0002-0000-1200-000006000000}">
      <formula1>0.0520833333333333</formula1>
    </dataValidation>
    <dataValidation type="list" errorStyle="warning" allowBlank="1" showInputMessage="1" showErrorMessage="1" errorTitle="list" error="luisrt" promptTitle="list" prompt="list" sqref="B10" xr:uid="{00000000-0002-0000-1200-000007000000}">
      <formula1>$H$2:$H$9</formula1>
    </dataValidation>
  </dataValidation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B2:F9"/>
  <sheetViews>
    <sheetView workbookViewId="0">
      <selection activeCell="K18" sqref="K18"/>
    </sheetView>
  </sheetViews>
  <sheetFormatPr defaultRowHeight="15" x14ac:dyDescent="0.25"/>
  <cols>
    <col min="2" max="2" width="10.28515625" bestFit="1" customWidth="1"/>
  </cols>
  <sheetData>
    <row r="2" spans="2:6" x14ac:dyDescent="0.25">
      <c r="B2" t="e">
        <f>1/0</f>
        <v>#DIV/0!</v>
      </c>
    </row>
    <row r="3" spans="2:6" x14ac:dyDescent="0.25">
      <c r="B3" t="e">
        <f>[4]Sheetxyz!A1</f>
        <v>#REF!</v>
      </c>
      <c r="D3">
        <v>1</v>
      </c>
    </row>
    <row r="4" spans="2:6" x14ac:dyDescent="0.25">
      <c r="B4" t="e">
        <f>VLOOKUP(A4,A1:A10,3)</f>
        <v>#N/A</v>
      </c>
      <c r="D4" t="s">
        <v>211</v>
      </c>
    </row>
    <row r="5" spans="2:6" x14ac:dyDescent="0.25">
      <c r="B5" t="e">
        <f>D3/D4</f>
        <v>#VALUE!</v>
      </c>
    </row>
    <row r="6" spans="2:6" x14ac:dyDescent="0.25">
      <c r="B6" t="e">
        <f ca="1">squr(-1.3)</f>
        <v>#NAME?</v>
      </c>
    </row>
    <row r="7" spans="2:6" x14ac:dyDescent="0.25">
      <c r="B7" t="e">
        <f>IRR(-1,307)</f>
        <v>#NUM!</v>
      </c>
    </row>
    <row r="8" spans="2:6" x14ac:dyDescent="0.25">
      <c r="B8" t="e">
        <f>SUM(A1:B3 C1:D5)</f>
        <v>#NULL!</v>
      </c>
    </row>
    <row r="9" spans="2:6" x14ac:dyDescent="0.25">
      <c r="F9" t="s">
        <v>294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9"/>
  <dimension ref="A4:E21"/>
  <sheetViews>
    <sheetView workbookViewId="0">
      <selection activeCell="I14" sqref="I14"/>
    </sheetView>
  </sheetViews>
  <sheetFormatPr defaultRowHeight="15" x14ac:dyDescent="0.25"/>
  <cols>
    <col min="2" max="2" width="20.7109375" bestFit="1" customWidth="1"/>
    <col min="3" max="3" width="10.7109375" bestFit="1" customWidth="1"/>
  </cols>
  <sheetData>
    <row r="4" spans="1:3" x14ac:dyDescent="0.25">
      <c r="A4" t="s">
        <v>222</v>
      </c>
      <c r="B4" t="s">
        <v>230</v>
      </c>
      <c r="C4" t="s">
        <v>231</v>
      </c>
    </row>
    <row r="5" spans="1:3" x14ac:dyDescent="0.25">
      <c r="B5" t="s">
        <v>232</v>
      </c>
    </row>
    <row r="6" spans="1:3" x14ac:dyDescent="0.25">
      <c r="A6" t="s">
        <v>222</v>
      </c>
      <c r="B6" t="s">
        <v>236</v>
      </c>
      <c r="C6" t="s">
        <v>228</v>
      </c>
    </row>
    <row r="7" spans="1:3" x14ac:dyDescent="0.25">
      <c r="B7" t="s">
        <v>229</v>
      </c>
    </row>
    <row r="8" spans="1:3" x14ac:dyDescent="0.25">
      <c r="A8" t="s">
        <v>223</v>
      </c>
      <c r="B8" t="s">
        <v>226</v>
      </c>
      <c r="C8">
        <v>300</v>
      </c>
    </row>
    <row r="9" spans="1:3" x14ac:dyDescent="0.25">
      <c r="B9">
        <v>500</v>
      </c>
    </row>
    <row r="11" spans="1:3" x14ac:dyDescent="0.25">
      <c r="A11" t="s">
        <v>224</v>
      </c>
      <c r="B11" t="s">
        <v>233</v>
      </c>
      <c r="C11" s="3">
        <v>41604</v>
      </c>
    </row>
    <row r="12" spans="1:3" x14ac:dyDescent="0.25">
      <c r="B12" s="3">
        <v>32143</v>
      </c>
    </row>
    <row r="14" spans="1:3" x14ac:dyDescent="0.25">
      <c r="A14" t="s">
        <v>225</v>
      </c>
      <c r="B14" t="s">
        <v>227</v>
      </c>
      <c r="C14" t="s">
        <v>228</v>
      </c>
    </row>
    <row r="15" spans="1:3" x14ac:dyDescent="0.25">
      <c r="B15" t="s">
        <v>229</v>
      </c>
    </row>
    <row r="19" spans="5:5" x14ac:dyDescent="0.25">
      <c r="E19">
        <v>1</v>
      </c>
    </row>
    <row r="20" spans="5:5" x14ac:dyDescent="0.25">
      <c r="E20">
        <v>2</v>
      </c>
    </row>
    <row r="21" spans="5:5" x14ac:dyDescent="0.25">
      <c r="E21">
        <f>SUM(E19:E20)</f>
        <v>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/>
  <dimension ref="A1:W24"/>
  <sheetViews>
    <sheetView workbookViewId="0">
      <selection activeCell="K29" sqref="K29"/>
    </sheetView>
  </sheetViews>
  <sheetFormatPr defaultRowHeight="15" x14ac:dyDescent="0.25"/>
  <cols>
    <col min="1" max="1" width="19.140625" bestFit="1" customWidth="1"/>
    <col min="2" max="22" width="9.42578125" bestFit="1" customWidth="1"/>
    <col min="23" max="23" width="11.140625" bestFit="1" customWidth="1"/>
  </cols>
  <sheetData>
    <row r="1" spans="1:23" x14ac:dyDescent="0.25">
      <c r="A1" s="11" t="s">
        <v>235</v>
      </c>
      <c r="B1" s="11" t="s">
        <v>45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6"/>
    </row>
    <row r="2" spans="1:23" x14ac:dyDescent="0.25">
      <c r="A2" s="11" t="s">
        <v>46</v>
      </c>
      <c r="B2" s="8">
        <v>1</v>
      </c>
      <c r="C2" s="17">
        <v>2</v>
      </c>
      <c r="D2" s="17">
        <v>3</v>
      </c>
      <c r="E2" s="17">
        <v>4</v>
      </c>
      <c r="F2" s="17">
        <v>5</v>
      </c>
      <c r="G2" s="17">
        <v>6</v>
      </c>
      <c r="H2" s="17">
        <v>7</v>
      </c>
      <c r="I2" s="17">
        <v>8</v>
      </c>
      <c r="J2" s="17">
        <v>9</v>
      </c>
      <c r="K2" s="17">
        <v>10</v>
      </c>
      <c r="L2" s="17">
        <v>11</v>
      </c>
      <c r="M2" s="17">
        <v>12</v>
      </c>
      <c r="N2" s="17">
        <v>13</v>
      </c>
      <c r="O2" s="17">
        <v>14</v>
      </c>
      <c r="P2" s="17">
        <v>15</v>
      </c>
      <c r="Q2" s="17">
        <v>16</v>
      </c>
      <c r="R2" s="17">
        <v>17</v>
      </c>
      <c r="S2" s="17">
        <v>18</v>
      </c>
      <c r="T2" s="17">
        <v>19</v>
      </c>
      <c r="U2" s="17">
        <v>20</v>
      </c>
      <c r="V2" s="17">
        <v>21</v>
      </c>
      <c r="W2" s="9" t="s">
        <v>234</v>
      </c>
    </row>
    <row r="3" spans="1:23" x14ac:dyDescent="0.25">
      <c r="A3" s="8" t="s">
        <v>67</v>
      </c>
      <c r="B3" s="8">
        <v>1</v>
      </c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9">
        <v>1</v>
      </c>
    </row>
    <row r="4" spans="1:23" x14ac:dyDescent="0.25">
      <c r="A4" s="13" t="s">
        <v>106</v>
      </c>
      <c r="B4" s="13"/>
      <c r="N4">
        <v>1</v>
      </c>
      <c r="W4" s="14">
        <v>1</v>
      </c>
    </row>
    <row r="5" spans="1:23" x14ac:dyDescent="0.25">
      <c r="A5" s="13" t="s">
        <v>109</v>
      </c>
      <c r="B5" s="13"/>
      <c r="O5">
        <v>1</v>
      </c>
      <c r="W5" s="14">
        <v>1</v>
      </c>
    </row>
    <row r="6" spans="1:23" x14ac:dyDescent="0.25">
      <c r="A6" s="13" t="s">
        <v>84</v>
      </c>
      <c r="B6" s="13"/>
      <c r="F6">
        <v>1</v>
      </c>
      <c r="W6" s="14">
        <v>1</v>
      </c>
    </row>
    <row r="7" spans="1:23" x14ac:dyDescent="0.25">
      <c r="A7" s="13" t="s">
        <v>111</v>
      </c>
      <c r="B7" s="13"/>
      <c r="P7">
        <v>1</v>
      </c>
      <c r="W7" s="14">
        <v>1</v>
      </c>
    </row>
    <row r="8" spans="1:23" x14ac:dyDescent="0.25">
      <c r="A8" s="13" t="s">
        <v>78</v>
      </c>
      <c r="B8" s="13"/>
      <c r="D8">
        <v>1</v>
      </c>
      <c r="W8" s="14">
        <v>1</v>
      </c>
    </row>
    <row r="9" spans="1:23" x14ac:dyDescent="0.25">
      <c r="A9" s="13" t="s">
        <v>114</v>
      </c>
      <c r="B9" s="13"/>
      <c r="Q9">
        <v>1</v>
      </c>
      <c r="W9" s="14">
        <v>1</v>
      </c>
    </row>
    <row r="10" spans="1:23" x14ac:dyDescent="0.25">
      <c r="A10" s="13" t="s">
        <v>96</v>
      </c>
      <c r="B10" s="13"/>
      <c r="J10">
        <v>1</v>
      </c>
      <c r="W10" s="14">
        <v>1</v>
      </c>
    </row>
    <row r="11" spans="1:23" x14ac:dyDescent="0.25">
      <c r="A11" s="13" t="s">
        <v>87</v>
      </c>
      <c r="B11" s="13"/>
      <c r="G11">
        <v>1</v>
      </c>
      <c r="W11" s="14">
        <v>1</v>
      </c>
    </row>
    <row r="12" spans="1:23" x14ac:dyDescent="0.25">
      <c r="A12" s="13" t="s">
        <v>93</v>
      </c>
      <c r="B12" s="13"/>
      <c r="I12">
        <v>1</v>
      </c>
      <c r="W12" s="14">
        <v>1</v>
      </c>
    </row>
    <row r="13" spans="1:23" x14ac:dyDescent="0.25">
      <c r="A13" s="13" t="s">
        <v>128</v>
      </c>
      <c r="B13" s="13"/>
      <c r="V13">
        <v>1</v>
      </c>
      <c r="W13" s="14">
        <v>1</v>
      </c>
    </row>
    <row r="14" spans="1:23" x14ac:dyDescent="0.25">
      <c r="A14" s="13" t="s">
        <v>100</v>
      </c>
      <c r="B14" s="13"/>
      <c r="L14">
        <v>1</v>
      </c>
      <c r="W14" s="14">
        <v>1</v>
      </c>
    </row>
    <row r="15" spans="1:23" x14ac:dyDescent="0.25">
      <c r="A15" s="13" t="s">
        <v>116</v>
      </c>
      <c r="B15" s="13"/>
      <c r="R15">
        <v>1</v>
      </c>
      <c r="W15" s="14">
        <v>1</v>
      </c>
    </row>
    <row r="16" spans="1:23" x14ac:dyDescent="0.25">
      <c r="A16" s="13" t="s">
        <v>81</v>
      </c>
      <c r="B16" s="13"/>
      <c r="E16">
        <v>1</v>
      </c>
      <c r="W16" s="14">
        <v>1</v>
      </c>
    </row>
    <row r="17" spans="1:23" x14ac:dyDescent="0.25">
      <c r="A17" s="13" t="s">
        <v>90</v>
      </c>
      <c r="B17" s="13"/>
      <c r="H17">
        <v>1</v>
      </c>
      <c r="W17" s="14">
        <v>1</v>
      </c>
    </row>
    <row r="18" spans="1:23" x14ac:dyDescent="0.25">
      <c r="A18" s="13" t="s">
        <v>74</v>
      </c>
      <c r="B18" s="13"/>
      <c r="C18">
        <v>1</v>
      </c>
      <c r="W18" s="14">
        <v>1</v>
      </c>
    </row>
    <row r="19" spans="1:23" x14ac:dyDescent="0.25">
      <c r="A19" s="13" t="s">
        <v>103</v>
      </c>
      <c r="B19" s="13"/>
      <c r="M19">
        <v>1</v>
      </c>
      <c r="W19" s="14">
        <v>1</v>
      </c>
    </row>
    <row r="20" spans="1:23" x14ac:dyDescent="0.25">
      <c r="A20" s="13" t="s">
        <v>119</v>
      </c>
      <c r="B20" s="13"/>
      <c r="S20">
        <v>1</v>
      </c>
      <c r="W20" s="14">
        <v>1</v>
      </c>
    </row>
    <row r="21" spans="1:23" x14ac:dyDescent="0.25">
      <c r="A21" s="13" t="s">
        <v>123</v>
      </c>
      <c r="B21" s="13"/>
      <c r="T21">
        <v>1</v>
      </c>
      <c r="W21" s="14">
        <v>1</v>
      </c>
    </row>
    <row r="22" spans="1:23" x14ac:dyDescent="0.25">
      <c r="A22" s="13" t="s">
        <v>99</v>
      </c>
      <c r="B22" s="13"/>
      <c r="K22">
        <v>1</v>
      </c>
      <c r="W22" s="14">
        <v>1</v>
      </c>
    </row>
    <row r="23" spans="1:23" x14ac:dyDescent="0.25">
      <c r="A23" s="13" t="s">
        <v>125</v>
      </c>
      <c r="B23" s="13"/>
      <c r="U23">
        <v>1</v>
      </c>
      <c r="W23" s="14">
        <v>1</v>
      </c>
    </row>
    <row r="24" spans="1:23" x14ac:dyDescent="0.25">
      <c r="A24" s="10" t="s">
        <v>234</v>
      </c>
      <c r="B24" s="10">
        <v>1</v>
      </c>
      <c r="C24" s="18">
        <v>1</v>
      </c>
      <c r="D24" s="18">
        <v>1</v>
      </c>
      <c r="E24" s="18">
        <v>1</v>
      </c>
      <c r="F24" s="18">
        <v>1</v>
      </c>
      <c r="G24" s="18">
        <v>1</v>
      </c>
      <c r="H24" s="18">
        <v>1</v>
      </c>
      <c r="I24" s="18">
        <v>1</v>
      </c>
      <c r="J24" s="18">
        <v>1</v>
      </c>
      <c r="K24" s="18">
        <v>1</v>
      </c>
      <c r="L24" s="18">
        <v>1</v>
      </c>
      <c r="M24" s="18">
        <v>1</v>
      </c>
      <c r="N24" s="18">
        <v>1</v>
      </c>
      <c r="O24" s="18">
        <v>1</v>
      </c>
      <c r="P24" s="18">
        <v>1</v>
      </c>
      <c r="Q24" s="18">
        <v>1</v>
      </c>
      <c r="R24" s="18">
        <v>1</v>
      </c>
      <c r="S24" s="18">
        <v>1</v>
      </c>
      <c r="T24" s="18">
        <v>1</v>
      </c>
      <c r="U24" s="18">
        <v>1</v>
      </c>
      <c r="V24" s="18">
        <v>1</v>
      </c>
      <c r="W24" s="12">
        <v>21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B2:I19"/>
  <sheetViews>
    <sheetView workbookViewId="0">
      <selection activeCell="N34" sqref="N34"/>
    </sheetView>
  </sheetViews>
  <sheetFormatPr defaultRowHeight="15" x14ac:dyDescent="0.25"/>
  <cols>
    <col min="2" max="2" width="17.42578125" bestFit="1" customWidth="1"/>
    <col min="3" max="3" width="22.5703125" bestFit="1" customWidth="1"/>
  </cols>
  <sheetData>
    <row r="2" spans="2:9" x14ac:dyDescent="0.25">
      <c r="B2" s="3">
        <v>41983</v>
      </c>
      <c r="C2" s="31">
        <v>41983.447916666664</v>
      </c>
    </row>
    <row r="3" spans="2:9" x14ac:dyDescent="0.25">
      <c r="B3" s="3">
        <f>B2</f>
        <v>41983</v>
      </c>
      <c r="C3" s="31">
        <f>C2</f>
        <v>41983.447916666664</v>
      </c>
    </row>
    <row r="4" spans="2:9" x14ac:dyDescent="0.25">
      <c r="B4" s="32">
        <v>41983</v>
      </c>
      <c r="C4" s="33" t="s">
        <v>265</v>
      </c>
    </row>
    <row r="5" spans="2:9" x14ac:dyDescent="0.25">
      <c r="B5" s="32">
        <f>B4</f>
        <v>41983</v>
      </c>
      <c r="C5" s="33" t="str">
        <f>C4</f>
        <v>12/10/2014  15:00:00 AM</v>
      </c>
    </row>
    <row r="10" spans="2:9" x14ac:dyDescent="0.25">
      <c r="H10" t="s">
        <v>295</v>
      </c>
      <c r="I10">
        <v>60000</v>
      </c>
    </row>
    <row r="19" spans="8:8" x14ac:dyDescent="0.25">
      <c r="H19" t="s">
        <v>296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4DB28-1208-4D06-874D-EEEEF1AC05A7}">
  <dimension ref="A1:E522"/>
  <sheetViews>
    <sheetView tabSelected="1" topLeftCell="A70" workbookViewId="0"/>
  </sheetViews>
  <sheetFormatPr defaultRowHeight="15" x14ac:dyDescent="0.25"/>
  <cols>
    <col min="1" max="1" width="65.7109375" bestFit="1" customWidth="1"/>
    <col min="2" max="3" width="81.140625" bestFit="1" customWidth="1"/>
    <col min="4" max="4" width="15.5703125" bestFit="1" customWidth="1"/>
    <col min="5" max="5" width="17.28515625" bestFit="1" customWidth="1"/>
  </cols>
  <sheetData>
    <row r="1" spans="1:5" x14ac:dyDescent="0.25">
      <c r="A1" t="s">
        <v>321</v>
      </c>
      <c r="B1" t="s">
        <v>322</v>
      </c>
      <c r="C1" t="s">
        <v>323</v>
      </c>
      <c r="D1" t="s">
        <v>324</v>
      </c>
      <c r="E1" t="s">
        <v>325</v>
      </c>
    </row>
    <row r="2" spans="1:5" x14ac:dyDescent="0.25">
      <c r="A2" s="42" t="s">
        <v>326</v>
      </c>
      <c r="B2" s="42" t="s">
        <v>327</v>
      </c>
      <c r="C2" s="42" t="s">
        <v>328</v>
      </c>
      <c r="D2" s="4"/>
    </row>
    <row r="3" spans="1:5" x14ac:dyDescent="0.25">
      <c r="A3" s="42" t="s">
        <v>329</v>
      </c>
      <c r="B3" s="42" t="s">
        <v>329</v>
      </c>
      <c r="C3" s="42" t="s">
        <v>330</v>
      </c>
      <c r="D3" s="4"/>
    </row>
    <row r="4" spans="1:5" x14ac:dyDescent="0.25">
      <c r="A4" s="42" t="s">
        <v>331</v>
      </c>
      <c r="B4" s="42" t="s">
        <v>331</v>
      </c>
      <c r="C4" s="42" t="s">
        <v>332</v>
      </c>
      <c r="D4" s="4"/>
    </row>
    <row r="5" spans="1:5" x14ac:dyDescent="0.25">
      <c r="A5" s="42" t="s">
        <v>333</v>
      </c>
      <c r="B5" s="42" t="s">
        <v>334</v>
      </c>
      <c r="C5" s="42" t="s">
        <v>335</v>
      </c>
      <c r="D5" s="4"/>
    </row>
    <row r="6" spans="1:5" x14ac:dyDescent="0.25">
      <c r="A6" s="42" t="s">
        <v>336</v>
      </c>
      <c r="B6" s="42" t="s">
        <v>337</v>
      </c>
      <c r="C6" s="42" t="s">
        <v>338</v>
      </c>
      <c r="D6" s="4"/>
    </row>
    <row r="7" spans="1:5" x14ac:dyDescent="0.25">
      <c r="A7" s="42" t="s">
        <v>339</v>
      </c>
      <c r="B7" s="42" t="s">
        <v>339</v>
      </c>
      <c r="C7" s="42" t="s">
        <v>340</v>
      </c>
      <c r="D7" s="4"/>
    </row>
    <row r="8" spans="1:5" x14ac:dyDescent="0.25">
      <c r="A8" s="42" t="s">
        <v>341</v>
      </c>
      <c r="B8" s="42" t="s">
        <v>342</v>
      </c>
      <c r="C8" s="42" t="s">
        <v>328</v>
      </c>
      <c r="D8" s="4"/>
    </row>
    <row r="9" spans="1:5" x14ac:dyDescent="0.25">
      <c r="A9" s="42" t="s">
        <v>343</v>
      </c>
      <c r="B9" s="42" t="s">
        <v>343</v>
      </c>
      <c r="C9" s="42" t="s">
        <v>344</v>
      </c>
      <c r="D9" s="4"/>
    </row>
    <row r="10" spans="1:5" x14ac:dyDescent="0.25">
      <c r="A10" s="42" t="s">
        <v>345</v>
      </c>
      <c r="B10" s="42" t="s">
        <v>346</v>
      </c>
      <c r="C10" s="42" t="s">
        <v>332</v>
      </c>
      <c r="D10" s="4"/>
    </row>
    <row r="11" spans="1:5" x14ac:dyDescent="0.25">
      <c r="A11" s="42" t="s">
        <v>347</v>
      </c>
      <c r="B11" s="42" t="s">
        <v>348</v>
      </c>
      <c r="C11" s="42" t="s">
        <v>328</v>
      </c>
      <c r="D11" s="4"/>
    </row>
    <row r="12" spans="1:5" x14ac:dyDescent="0.25">
      <c r="A12" s="42" t="s">
        <v>349</v>
      </c>
      <c r="B12" s="42" t="s">
        <v>350</v>
      </c>
      <c r="C12" s="42" t="s">
        <v>351</v>
      </c>
      <c r="D12" s="4"/>
    </row>
    <row r="13" spans="1:5" x14ac:dyDescent="0.25">
      <c r="A13" s="42" t="s">
        <v>352</v>
      </c>
      <c r="B13" s="42" t="s">
        <v>353</v>
      </c>
      <c r="C13" s="42" t="s">
        <v>354</v>
      </c>
      <c r="D13" s="4"/>
    </row>
    <row r="14" spans="1:5" x14ac:dyDescent="0.25">
      <c r="A14" s="42" t="s">
        <v>355</v>
      </c>
      <c r="B14" s="42" t="s">
        <v>356</v>
      </c>
      <c r="C14" s="42" t="s">
        <v>351</v>
      </c>
      <c r="D14" s="4"/>
    </row>
    <row r="15" spans="1:5" x14ac:dyDescent="0.25">
      <c r="A15" s="42" t="s">
        <v>357</v>
      </c>
      <c r="B15" s="42" t="s">
        <v>358</v>
      </c>
      <c r="C15" s="42" t="s">
        <v>72</v>
      </c>
      <c r="D15" s="4"/>
    </row>
    <row r="16" spans="1:5" x14ac:dyDescent="0.25">
      <c r="A16" s="42" t="s">
        <v>359</v>
      </c>
      <c r="B16" s="42" t="s">
        <v>360</v>
      </c>
      <c r="C16" s="42" t="s">
        <v>328</v>
      </c>
      <c r="D16" s="4"/>
    </row>
    <row r="17" spans="1:5" x14ac:dyDescent="0.25">
      <c r="A17" s="42" t="s">
        <v>361</v>
      </c>
      <c r="B17" s="42"/>
      <c r="C17" s="42" t="s">
        <v>362</v>
      </c>
      <c r="D17" s="4"/>
    </row>
    <row r="18" spans="1:5" x14ac:dyDescent="0.25">
      <c r="A18" s="42" t="s">
        <v>363</v>
      </c>
      <c r="B18" s="42" t="s">
        <v>364</v>
      </c>
      <c r="C18" s="42" t="s">
        <v>365</v>
      </c>
      <c r="D18" s="4"/>
    </row>
    <row r="19" spans="1:5" x14ac:dyDescent="0.25">
      <c r="A19" s="42" t="s">
        <v>366</v>
      </c>
      <c r="B19" s="42" t="s">
        <v>366</v>
      </c>
      <c r="C19" s="42" t="s">
        <v>367</v>
      </c>
      <c r="D19" s="4"/>
    </row>
    <row r="20" spans="1:5" x14ac:dyDescent="0.25">
      <c r="A20" s="42" t="s">
        <v>368</v>
      </c>
      <c r="B20" s="42" t="s">
        <v>369</v>
      </c>
      <c r="C20" s="42" t="s">
        <v>370</v>
      </c>
      <c r="D20" s="4"/>
    </row>
    <row r="21" spans="1:5" x14ac:dyDescent="0.25">
      <c r="A21" s="42" t="s">
        <v>371</v>
      </c>
      <c r="B21" s="42" t="s">
        <v>372</v>
      </c>
      <c r="C21" s="42" t="s">
        <v>332</v>
      </c>
      <c r="D21" s="4"/>
    </row>
    <row r="22" spans="1:5" x14ac:dyDescent="0.25">
      <c r="A22" s="42" t="s">
        <v>373</v>
      </c>
      <c r="B22" s="42" t="s">
        <v>374</v>
      </c>
      <c r="C22" s="42" t="s">
        <v>332</v>
      </c>
      <c r="D22" s="4"/>
    </row>
    <row r="23" spans="1:5" x14ac:dyDescent="0.25">
      <c r="A23" s="42" t="s">
        <v>375</v>
      </c>
      <c r="B23" s="42" t="s">
        <v>375</v>
      </c>
      <c r="C23" s="42" t="s">
        <v>367</v>
      </c>
      <c r="D23" s="4"/>
    </row>
    <row r="24" spans="1:5" x14ac:dyDescent="0.25">
      <c r="A24" s="42" t="s">
        <v>376</v>
      </c>
      <c r="B24" s="42" t="s">
        <v>376</v>
      </c>
      <c r="C24" s="42" t="s">
        <v>328</v>
      </c>
      <c r="D24" s="4"/>
    </row>
    <row r="25" spans="1:5" x14ac:dyDescent="0.25">
      <c r="A25" s="42" t="s">
        <v>377</v>
      </c>
      <c r="B25" s="42" t="s">
        <v>378</v>
      </c>
      <c r="C25" s="42" t="s">
        <v>351</v>
      </c>
      <c r="D25" s="4"/>
    </row>
    <row r="26" spans="1:5" x14ac:dyDescent="0.25">
      <c r="A26" s="42" t="s">
        <v>379</v>
      </c>
      <c r="B26" s="42" t="s">
        <v>380</v>
      </c>
      <c r="C26" s="42" t="s">
        <v>328</v>
      </c>
      <c r="D26" s="4"/>
      <c r="E26">
        <v>1</v>
      </c>
    </row>
    <row r="27" spans="1:5" x14ac:dyDescent="0.25">
      <c r="A27" s="42" t="s">
        <v>381</v>
      </c>
      <c r="B27" s="42" t="s">
        <v>382</v>
      </c>
      <c r="C27" s="42" t="s">
        <v>328</v>
      </c>
      <c r="D27" s="4"/>
      <c r="E27">
        <v>1</v>
      </c>
    </row>
    <row r="28" spans="1:5" x14ac:dyDescent="0.25">
      <c r="A28" s="42" t="s">
        <v>383</v>
      </c>
      <c r="B28" s="42" t="s">
        <v>384</v>
      </c>
      <c r="C28" s="42" t="s">
        <v>328</v>
      </c>
      <c r="D28" s="4"/>
      <c r="E28">
        <v>1</v>
      </c>
    </row>
    <row r="29" spans="1:5" x14ac:dyDescent="0.25">
      <c r="A29" s="42" t="s">
        <v>385</v>
      </c>
      <c r="B29" s="42" t="s">
        <v>386</v>
      </c>
      <c r="C29" s="42" t="s">
        <v>328</v>
      </c>
      <c r="D29" s="4"/>
      <c r="E29">
        <v>1</v>
      </c>
    </row>
    <row r="30" spans="1:5" x14ac:dyDescent="0.25">
      <c r="A30" s="42" t="s">
        <v>387</v>
      </c>
      <c r="B30" s="42" t="s">
        <v>388</v>
      </c>
      <c r="C30" s="42" t="s">
        <v>332</v>
      </c>
      <c r="D30" s="4"/>
    </row>
    <row r="31" spans="1:5" x14ac:dyDescent="0.25">
      <c r="A31" s="42" t="s">
        <v>389</v>
      </c>
      <c r="B31" s="42" t="s">
        <v>389</v>
      </c>
      <c r="C31" s="42" t="s">
        <v>390</v>
      </c>
      <c r="D31" s="4"/>
    </row>
    <row r="32" spans="1:5" x14ac:dyDescent="0.25">
      <c r="A32" s="42" t="s">
        <v>391</v>
      </c>
      <c r="B32" s="42" t="s">
        <v>392</v>
      </c>
      <c r="C32" s="42" t="s">
        <v>393</v>
      </c>
      <c r="D32" s="4"/>
    </row>
    <row r="33" spans="1:5" x14ac:dyDescent="0.25">
      <c r="A33" s="42" t="s">
        <v>394</v>
      </c>
      <c r="B33" s="42" t="s">
        <v>395</v>
      </c>
      <c r="C33" s="42" t="s">
        <v>396</v>
      </c>
      <c r="D33" s="4"/>
    </row>
    <row r="34" spans="1:5" x14ac:dyDescent="0.25">
      <c r="A34" s="42" t="s">
        <v>397</v>
      </c>
      <c r="B34" s="42" t="s">
        <v>398</v>
      </c>
      <c r="C34" s="42" t="s">
        <v>332</v>
      </c>
      <c r="D34" s="4"/>
    </row>
    <row r="35" spans="1:5" x14ac:dyDescent="0.25">
      <c r="A35" s="42" t="s">
        <v>399</v>
      </c>
      <c r="B35" s="42" t="s">
        <v>400</v>
      </c>
      <c r="C35" s="42" t="s">
        <v>362</v>
      </c>
      <c r="D35" s="4"/>
    </row>
    <row r="36" spans="1:5" x14ac:dyDescent="0.25">
      <c r="A36" s="42" t="s">
        <v>401</v>
      </c>
      <c r="B36" s="42" t="s">
        <v>401</v>
      </c>
      <c r="C36" s="42" t="s">
        <v>393</v>
      </c>
      <c r="D36" s="4"/>
    </row>
    <row r="37" spans="1:5" x14ac:dyDescent="0.25">
      <c r="A37" s="42" t="s">
        <v>402</v>
      </c>
      <c r="B37" s="42" t="s">
        <v>403</v>
      </c>
      <c r="C37" s="42"/>
      <c r="D37" s="4"/>
    </row>
    <row r="38" spans="1:5" x14ac:dyDescent="0.25">
      <c r="A38" s="42" t="s">
        <v>404</v>
      </c>
      <c r="B38" s="42" t="s">
        <v>404</v>
      </c>
      <c r="C38" s="42" t="s">
        <v>328</v>
      </c>
      <c r="D38" s="4"/>
      <c r="E38">
        <v>1</v>
      </c>
    </row>
    <row r="39" spans="1:5" x14ac:dyDescent="0.25">
      <c r="A39" s="42" t="s">
        <v>405</v>
      </c>
      <c r="B39" s="42" t="s">
        <v>405</v>
      </c>
      <c r="C39" s="42" t="s">
        <v>332</v>
      </c>
      <c r="D39" s="4"/>
    </row>
    <row r="40" spans="1:5" x14ac:dyDescent="0.25">
      <c r="A40" s="42" t="s">
        <v>406</v>
      </c>
      <c r="B40" s="42" t="s">
        <v>406</v>
      </c>
      <c r="C40" s="42" t="s">
        <v>6</v>
      </c>
      <c r="D40" s="4"/>
    </row>
    <row r="41" spans="1:5" x14ac:dyDescent="0.25">
      <c r="A41" s="42" t="s">
        <v>407</v>
      </c>
      <c r="B41" s="42" t="s">
        <v>408</v>
      </c>
      <c r="C41" s="42" t="s">
        <v>409</v>
      </c>
      <c r="D41" s="4"/>
    </row>
    <row r="42" spans="1:5" x14ac:dyDescent="0.25">
      <c r="A42" s="42" t="s">
        <v>410</v>
      </c>
      <c r="B42" s="42" t="s">
        <v>411</v>
      </c>
      <c r="C42" s="42" t="s">
        <v>328</v>
      </c>
      <c r="D42" s="4"/>
    </row>
    <row r="43" spans="1:5" x14ac:dyDescent="0.25">
      <c r="A43" s="42" t="s">
        <v>412</v>
      </c>
      <c r="B43" s="42" t="s">
        <v>413</v>
      </c>
      <c r="C43" s="42" t="s">
        <v>414</v>
      </c>
      <c r="D43" s="4"/>
    </row>
    <row r="44" spans="1:5" x14ac:dyDescent="0.25">
      <c r="A44" s="42" t="s">
        <v>415</v>
      </c>
      <c r="B44" s="42" t="s">
        <v>416</v>
      </c>
      <c r="C44" s="42" t="s">
        <v>417</v>
      </c>
      <c r="D44" s="4"/>
    </row>
    <row r="45" spans="1:5" x14ac:dyDescent="0.25">
      <c r="A45" s="42" t="s">
        <v>418</v>
      </c>
      <c r="B45" s="42" t="s">
        <v>419</v>
      </c>
      <c r="C45" s="42" t="s">
        <v>420</v>
      </c>
      <c r="D45" s="4"/>
    </row>
    <row r="46" spans="1:5" x14ac:dyDescent="0.25">
      <c r="A46" s="42" t="s">
        <v>421</v>
      </c>
      <c r="B46" s="42" t="s">
        <v>422</v>
      </c>
      <c r="C46" s="42" t="s">
        <v>420</v>
      </c>
      <c r="D46" s="4"/>
    </row>
    <row r="47" spans="1:5" x14ac:dyDescent="0.25">
      <c r="A47" s="42" t="s">
        <v>423</v>
      </c>
      <c r="B47" s="42" t="s">
        <v>424</v>
      </c>
      <c r="C47" s="42" t="s">
        <v>425</v>
      </c>
      <c r="D47" s="4"/>
    </row>
    <row r="48" spans="1:5" x14ac:dyDescent="0.25">
      <c r="A48" s="42" t="s">
        <v>426</v>
      </c>
      <c r="B48" s="42" t="s">
        <v>427</v>
      </c>
      <c r="C48" s="42" t="s">
        <v>428</v>
      </c>
      <c r="D48" s="4"/>
    </row>
    <row r="49" spans="1:4" x14ac:dyDescent="0.25">
      <c r="A49" s="42" t="s">
        <v>429</v>
      </c>
      <c r="B49" s="42" t="s">
        <v>430</v>
      </c>
      <c r="C49" s="42" t="s">
        <v>431</v>
      </c>
      <c r="D49" s="4"/>
    </row>
    <row r="50" spans="1:4" x14ac:dyDescent="0.25">
      <c r="A50" s="42" t="s">
        <v>432</v>
      </c>
      <c r="B50" s="42" t="s">
        <v>433</v>
      </c>
      <c r="C50" s="42" t="s">
        <v>434</v>
      </c>
      <c r="D50" s="4"/>
    </row>
    <row r="51" spans="1:4" x14ac:dyDescent="0.25">
      <c r="A51" s="42" t="s">
        <v>435</v>
      </c>
      <c r="B51" s="42" t="s">
        <v>436</v>
      </c>
      <c r="C51" s="42" t="s">
        <v>437</v>
      </c>
      <c r="D51" s="4"/>
    </row>
    <row r="52" spans="1:4" x14ac:dyDescent="0.25">
      <c r="A52" s="42" t="s">
        <v>438</v>
      </c>
      <c r="B52" s="42" t="s">
        <v>439</v>
      </c>
      <c r="C52" s="42" t="s">
        <v>440</v>
      </c>
      <c r="D52" s="4"/>
    </row>
    <row r="53" spans="1:4" x14ac:dyDescent="0.25">
      <c r="A53" s="42" t="s">
        <v>441</v>
      </c>
      <c r="B53" s="42" t="s">
        <v>441</v>
      </c>
      <c r="C53" s="42" t="s">
        <v>442</v>
      </c>
      <c r="D53" s="4"/>
    </row>
    <row r="54" spans="1:4" x14ac:dyDescent="0.25">
      <c r="A54" s="42" t="s">
        <v>443</v>
      </c>
      <c r="B54" s="42" t="s">
        <v>444</v>
      </c>
      <c r="C54" s="42" t="s">
        <v>445</v>
      </c>
      <c r="D54" s="4"/>
    </row>
    <row r="55" spans="1:4" x14ac:dyDescent="0.25">
      <c r="A55" s="42" t="s">
        <v>446</v>
      </c>
      <c r="B55" s="42" t="s">
        <v>447</v>
      </c>
      <c r="C55" s="42" t="s">
        <v>448</v>
      </c>
      <c r="D55" s="4"/>
    </row>
    <row r="56" spans="1:4" x14ac:dyDescent="0.25">
      <c r="A56" s="42" t="s">
        <v>449</v>
      </c>
      <c r="B56" s="42" t="s">
        <v>450</v>
      </c>
      <c r="C56" s="42" t="s">
        <v>451</v>
      </c>
      <c r="D56" s="4"/>
    </row>
    <row r="57" spans="1:4" x14ac:dyDescent="0.25">
      <c r="A57" s="42" t="s">
        <v>452</v>
      </c>
      <c r="B57" s="42" t="s">
        <v>452</v>
      </c>
      <c r="C57" s="42" t="s">
        <v>453</v>
      </c>
      <c r="D57" s="4"/>
    </row>
    <row r="58" spans="1:4" x14ac:dyDescent="0.25">
      <c r="A58" s="42" t="s">
        <v>454</v>
      </c>
      <c r="B58" s="42" t="s">
        <v>455</v>
      </c>
      <c r="C58" s="42" t="s">
        <v>328</v>
      </c>
      <c r="D58" s="4"/>
    </row>
    <row r="59" spans="1:4" x14ac:dyDescent="0.25">
      <c r="A59" s="42" t="s">
        <v>456</v>
      </c>
      <c r="B59" s="42" t="s">
        <v>457</v>
      </c>
      <c r="C59" s="42" t="s">
        <v>328</v>
      </c>
      <c r="D59" s="4"/>
    </row>
    <row r="60" spans="1:4" x14ac:dyDescent="0.25">
      <c r="A60" s="42" t="s">
        <v>458</v>
      </c>
      <c r="B60" s="42" t="s">
        <v>458</v>
      </c>
      <c r="C60" s="42" t="s">
        <v>332</v>
      </c>
      <c r="D60" s="4"/>
    </row>
    <row r="61" spans="1:4" x14ac:dyDescent="0.25">
      <c r="A61" s="42" t="s">
        <v>459</v>
      </c>
      <c r="B61" s="42" t="s">
        <v>460</v>
      </c>
      <c r="C61" s="42" t="s">
        <v>332</v>
      </c>
      <c r="D61" s="4"/>
    </row>
    <row r="62" spans="1:4" x14ac:dyDescent="0.25">
      <c r="A62" s="42" t="s">
        <v>461</v>
      </c>
      <c r="B62" s="42" t="s">
        <v>462</v>
      </c>
      <c r="C62" s="42" t="s">
        <v>332</v>
      </c>
      <c r="D62" s="4"/>
    </row>
    <row r="63" spans="1:4" x14ac:dyDescent="0.25">
      <c r="A63" s="42" t="s">
        <v>463</v>
      </c>
      <c r="B63" s="42" t="s">
        <v>464</v>
      </c>
      <c r="C63" s="42" t="s">
        <v>332</v>
      </c>
      <c r="D63" s="4"/>
    </row>
    <row r="64" spans="1:4" x14ac:dyDescent="0.25">
      <c r="A64" s="42" t="s">
        <v>465</v>
      </c>
      <c r="B64" s="42" t="s">
        <v>466</v>
      </c>
      <c r="C64" s="42" t="s">
        <v>328</v>
      </c>
      <c r="D64" s="4"/>
    </row>
    <row r="65" spans="1:5" x14ac:dyDescent="0.25">
      <c r="A65" s="42" t="s">
        <v>467</v>
      </c>
      <c r="B65" s="42" t="s">
        <v>467</v>
      </c>
      <c r="C65" s="42" t="s">
        <v>328</v>
      </c>
      <c r="D65" s="4"/>
    </row>
    <row r="66" spans="1:5" x14ac:dyDescent="0.25">
      <c r="A66" s="42" t="s">
        <v>468</v>
      </c>
      <c r="B66" s="42" t="s">
        <v>469</v>
      </c>
      <c r="C66" s="42" t="s">
        <v>470</v>
      </c>
      <c r="D66" s="4"/>
    </row>
    <row r="67" spans="1:5" x14ac:dyDescent="0.25">
      <c r="A67" s="42" t="s">
        <v>471</v>
      </c>
      <c r="B67" s="42" t="s">
        <v>471</v>
      </c>
      <c r="C67" s="42" t="s">
        <v>328</v>
      </c>
      <c r="D67" s="4"/>
    </row>
    <row r="68" spans="1:5" x14ac:dyDescent="0.25">
      <c r="A68" s="42" t="s">
        <v>472</v>
      </c>
      <c r="B68" s="42" t="s">
        <v>473</v>
      </c>
      <c r="C68" s="42" t="s">
        <v>332</v>
      </c>
      <c r="D68" s="4"/>
    </row>
    <row r="69" spans="1:5" x14ac:dyDescent="0.25">
      <c r="A69" s="42" t="s">
        <v>474</v>
      </c>
      <c r="B69" s="42" t="s">
        <v>474</v>
      </c>
      <c r="C69" s="42" t="s">
        <v>332</v>
      </c>
      <c r="D69" s="4"/>
    </row>
    <row r="70" spans="1:5" x14ac:dyDescent="0.25">
      <c r="A70" s="42" t="s">
        <v>475</v>
      </c>
      <c r="B70" s="42" t="s">
        <v>476</v>
      </c>
      <c r="C70" s="42" t="s">
        <v>477</v>
      </c>
      <c r="D70" s="4"/>
    </row>
    <row r="71" spans="1:5" x14ac:dyDescent="0.25">
      <c r="A71" s="42" t="s">
        <v>478</v>
      </c>
      <c r="B71" s="42" t="s">
        <v>479</v>
      </c>
      <c r="C71" s="42" t="s">
        <v>328</v>
      </c>
      <c r="D71" s="4"/>
      <c r="E71">
        <v>1</v>
      </c>
    </row>
    <row r="72" spans="1:5" x14ac:dyDescent="0.25">
      <c r="A72" s="42" t="s">
        <v>480</v>
      </c>
      <c r="B72" s="42" t="s">
        <v>481</v>
      </c>
      <c r="C72" s="42" t="s">
        <v>482</v>
      </c>
      <c r="D72" s="4"/>
      <c r="E72">
        <v>1</v>
      </c>
    </row>
    <row r="73" spans="1:5" x14ac:dyDescent="0.25">
      <c r="A73" s="42" t="s">
        <v>483</v>
      </c>
      <c r="B73" s="42" t="s">
        <v>483</v>
      </c>
      <c r="C73" s="42" t="s">
        <v>328</v>
      </c>
      <c r="D73" s="4"/>
    </row>
    <row r="74" spans="1:5" x14ac:dyDescent="0.25">
      <c r="A74" s="42" t="s">
        <v>484</v>
      </c>
      <c r="B74" s="42" t="s">
        <v>484</v>
      </c>
      <c r="C74" s="42" t="s">
        <v>328</v>
      </c>
      <c r="D74" s="4"/>
    </row>
    <row r="75" spans="1:5" x14ac:dyDescent="0.25">
      <c r="A75" s="42" t="s">
        <v>485</v>
      </c>
      <c r="B75" s="42" t="s">
        <v>486</v>
      </c>
      <c r="C75" s="42" t="s">
        <v>351</v>
      </c>
      <c r="D75" s="4"/>
    </row>
    <row r="76" spans="1:5" x14ac:dyDescent="0.25">
      <c r="A76" s="42" t="s">
        <v>487</v>
      </c>
      <c r="B76" s="42" t="s">
        <v>488</v>
      </c>
      <c r="C76" s="42" t="s">
        <v>351</v>
      </c>
      <c r="D76" s="4"/>
      <c r="E76">
        <v>1</v>
      </c>
    </row>
    <row r="77" spans="1:5" x14ac:dyDescent="0.25">
      <c r="A77" s="42" t="s">
        <v>489</v>
      </c>
      <c r="B77" s="42" t="s">
        <v>489</v>
      </c>
      <c r="C77" s="42" t="s">
        <v>351</v>
      </c>
      <c r="D77" s="4"/>
    </row>
    <row r="78" spans="1:5" x14ac:dyDescent="0.25">
      <c r="A78" s="42" t="s">
        <v>490</v>
      </c>
      <c r="B78" s="42" t="s">
        <v>490</v>
      </c>
      <c r="C78" s="42" t="s">
        <v>354</v>
      </c>
      <c r="D78" s="4"/>
    </row>
    <row r="79" spans="1:5" x14ac:dyDescent="0.25">
      <c r="A79" s="42" t="s">
        <v>491</v>
      </c>
      <c r="B79" s="42" t="s">
        <v>491</v>
      </c>
      <c r="C79" s="42" t="s">
        <v>492</v>
      </c>
      <c r="D79" s="4"/>
    </row>
    <row r="80" spans="1:5" x14ac:dyDescent="0.25">
      <c r="A80" s="42" t="s">
        <v>493</v>
      </c>
      <c r="B80" s="42" t="s">
        <v>494</v>
      </c>
      <c r="C80" s="42" t="s">
        <v>495</v>
      </c>
      <c r="D80" s="4"/>
    </row>
    <row r="81" spans="1:5" x14ac:dyDescent="0.25">
      <c r="A81" s="42" t="s">
        <v>496</v>
      </c>
      <c r="B81" s="42" t="s">
        <v>497</v>
      </c>
      <c r="C81" s="42" t="s">
        <v>498</v>
      </c>
      <c r="D81" s="4"/>
    </row>
    <row r="82" spans="1:5" x14ac:dyDescent="0.25">
      <c r="A82" s="42" t="s">
        <v>499</v>
      </c>
      <c r="B82" s="42" t="s">
        <v>500</v>
      </c>
      <c r="C82" s="42" t="s">
        <v>344</v>
      </c>
      <c r="D82" s="4"/>
    </row>
    <row r="83" spans="1:5" x14ac:dyDescent="0.25">
      <c r="A83" s="42" t="s">
        <v>501</v>
      </c>
      <c r="B83" s="42" t="s">
        <v>501</v>
      </c>
      <c r="C83" s="42"/>
      <c r="D83" s="4"/>
      <c r="E83">
        <v>2</v>
      </c>
    </row>
    <row r="84" spans="1:5" x14ac:dyDescent="0.25">
      <c r="A84" s="42" t="s">
        <v>502</v>
      </c>
      <c r="B84" s="42" t="s">
        <v>502</v>
      </c>
      <c r="C84" s="42" t="s">
        <v>503</v>
      </c>
      <c r="D84" s="4"/>
    </row>
    <row r="85" spans="1:5" x14ac:dyDescent="0.25">
      <c r="A85" s="42" t="s">
        <v>504</v>
      </c>
      <c r="B85" s="42" t="s">
        <v>505</v>
      </c>
      <c r="C85" s="42" t="s">
        <v>332</v>
      </c>
      <c r="D85" s="4"/>
    </row>
    <row r="86" spans="1:5" x14ac:dyDescent="0.25">
      <c r="A86" s="42" t="s">
        <v>506</v>
      </c>
      <c r="B86" s="42" t="s">
        <v>507</v>
      </c>
      <c r="C86" s="42" t="s">
        <v>508</v>
      </c>
      <c r="D86" s="4"/>
    </row>
    <row r="87" spans="1:5" x14ac:dyDescent="0.25">
      <c r="A87" s="42" t="s">
        <v>509</v>
      </c>
      <c r="B87" s="42" t="s">
        <v>510</v>
      </c>
      <c r="C87" s="42" t="s">
        <v>511</v>
      </c>
      <c r="D87" s="4"/>
    </row>
    <row r="88" spans="1:5" x14ac:dyDescent="0.25">
      <c r="A88" s="42" t="s">
        <v>512</v>
      </c>
      <c r="B88" s="42" t="s">
        <v>513</v>
      </c>
      <c r="C88" s="42" t="s">
        <v>514</v>
      </c>
      <c r="D88" s="4"/>
    </row>
    <row r="89" spans="1:5" x14ac:dyDescent="0.25">
      <c r="A89" s="42" t="s">
        <v>515</v>
      </c>
      <c r="B89" s="42" t="s">
        <v>516</v>
      </c>
      <c r="C89" s="42" t="s">
        <v>517</v>
      </c>
      <c r="D89" s="4"/>
    </row>
    <row r="90" spans="1:5" x14ac:dyDescent="0.25">
      <c r="A90" s="42" t="s">
        <v>518</v>
      </c>
      <c r="B90" s="42" t="s">
        <v>519</v>
      </c>
      <c r="C90" s="42" t="s">
        <v>520</v>
      </c>
      <c r="D90" s="4"/>
    </row>
    <row r="91" spans="1:5" x14ac:dyDescent="0.25">
      <c r="A91" s="42" t="s">
        <v>521</v>
      </c>
      <c r="B91" s="42" t="s">
        <v>522</v>
      </c>
      <c r="C91" s="42" t="s">
        <v>520</v>
      </c>
      <c r="D91" s="4"/>
    </row>
    <row r="92" spans="1:5" x14ac:dyDescent="0.25">
      <c r="A92" s="42" t="s">
        <v>523</v>
      </c>
      <c r="B92" s="42" t="s">
        <v>524</v>
      </c>
      <c r="C92" s="42" t="s">
        <v>393</v>
      </c>
      <c r="D92" s="4"/>
    </row>
    <row r="93" spans="1:5" x14ac:dyDescent="0.25">
      <c r="A93" s="42" t="s">
        <v>525</v>
      </c>
      <c r="B93" s="42" t="s">
        <v>526</v>
      </c>
      <c r="C93" s="42" t="s">
        <v>527</v>
      </c>
      <c r="D93" s="4"/>
      <c r="E93">
        <v>882.8</v>
      </c>
    </row>
    <row r="94" spans="1:5" x14ac:dyDescent="0.25">
      <c r="A94" s="42" t="s">
        <v>528</v>
      </c>
      <c r="B94" s="42" t="s">
        <v>528</v>
      </c>
      <c r="C94" s="42" t="s">
        <v>529</v>
      </c>
      <c r="D94" s="4"/>
    </row>
    <row r="95" spans="1:5" x14ac:dyDescent="0.25">
      <c r="A95" s="42" t="s">
        <v>530</v>
      </c>
      <c r="B95" s="42" t="s">
        <v>530</v>
      </c>
      <c r="C95" s="42" t="s">
        <v>531</v>
      </c>
      <c r="D95" s="4"/>
    </row>
    <row r="96" spans="1:5" x14ac:dyDescent="0.25">
      <c r="A96" s="42" t="s">
        <v>532</v>
      </c>
      <c r="B96" s="42" t="s">
        <v>533</v>
      </c>
      <c r="C96" s="42" t="s">
        <v>351</v>
      </c>
      <c r="D96" s="4"/>
    </row>
    <row r="97" spans="1:4" x14ac:dyDescent="0.25">
      <c r="A97" s="42" t="s">
        <v>534</v>
      </c>
      <c r="B97" s="42" t="s">
        <v>535</v>
      </c>
      <c r="C97" s="42" t="s">
        <v>520</v>
      </c>
      <c r="D97" s="4"/>
    </row>
    <row r="98" spans="1:4" x14ac:dyDescent="0.25">
      <c r="A98" s="42" t="s">
        <v>536</v>
      </c>
      <c r="B98" s="42" t="s">
        <v>536</v>
      </c>
      <c r="C98" s="42" t="s">
        <v>328</v>
      </c>
      <c r="D98" s="4"/>
    </row>
    <row r="99" spans="1:4" x14ac:dyDescent="0.25">
      <c r="A99" s="42" t="s">
        <v>537</v>
      </c>
      <c r="B99" s="42" t="s">
        <v>538</v>
      </c>
      <c r="C99" s="42" t="s">
        <v>539</v>
      </c>
      <c r="D99" s="4"/>
    </row>
    <row r="100" spans="1:4" x14ac:dyDescent="0.25">
      <c r="A100" s="42" t="s">
        <v>540</v>
      </c>
      <c r="B100" s="42" t="s">
        <v>541</v>
      </c>
      <c r="C100" s="42" t="s">
        <v>542</v>
      </c>
      <c r="D100" s="4"/>
    </row>
    <row r="101" spans="1:4" x14ac:dyDescent="0.25">
      <c r="A101" s="42" t="s">
        <v>543</v>
      </c>
      <c r="B101" s="42" t="s">
        <v>544</v>
      </c>
      <c r="C101" s="42" t="s">
        <v>545</v>
      </c>
      <c r="D101" s="4"/>
    </row>
    <row r="102" spans="1:4" x14ac:dyDescent="0.25">
      <c r="A102" s="42" t="s">
        <v>546</v>
      </c>
      <c r="B102" s="42" t="s">
        <v>546</v>
      </c>
      <c r="C102" s="42" t="s">
        <v>319</v>
      </c>
      <c r="D102" s="4"/>
    </row>
    <row r="103" spans="1:4" x14ac:dyDescent="0.25">
      <c r="A103" s="42" t="s">
        <v>547</v>
      </c>
      <c r="B103" s="42" t="s">
        <v>547</v>
      </c>
      <c r="C103" s="42" t="s">
        <v>548</v>
      </c>
      <c r="D103" s="4"/>
    </row>
    <row r="104" spans="1:4" x14ac:dyDescent="0.25">
      <c r="A104" s="42" t="s">
        <v>549</v>
      </c>
      <c r="B104" s="42" t="s">
        <v>550</v>
      </c>
      <c r="C104" s="42" t="s">
        <v>551</v>
      </c>
      <c r="D104" s="4"/>
    </row>
    <row r="105" spans="1:4" x14ac:dyDescent="0.25">
      <c r="A105" s="42" t="s">
        <v>552</v>
      </c>
      <c r="B105" s="42" t="s">
        <v>553</v>
      </c>
      <c r="C105" s="42" t="s">
        <v>554</v>
      </c>
      <c r="D105" s="4"/>
    </row>
    <row r="106" spans="1:4" x14ac:dyDescent="0.25">
      <c r="A106" s="42" t="s">
        <v>555</v>
      </c>
      <c r="B106" s="42" t="s">
        <v>556</v>
      </c>
      <c r="C106" s="42" t="s">
        <v>365</v>
      </c>
      <c r="D106" s="4"/>
    </row>
    <row r="107" spans="1:4" x14ac:dyDescent="0.25">
      <c r="A107" s="42" t="s">
        <v>557</v>
      </c>
      <c r="B107" s="42" t="s">
        <v>557</v>
      </c>
      <c r="C107" s="42" t="s">
        <v>558</v>
      </c>
      <c r="D107" s="4"/>
    </row>
    <row r="108" spans="1:4" x14ac:dyDescent="0.25">
      <c r="A108" s="42" t="s">
        <v>559</v>
      </c>
      <c r="B108" s="42" t="s">
        <v>560</v>
      </c>
      <c r="C108" s="42" t="s">
        <v>328</v>
      </c>
      <c r="D108" s="4"/>
    </row>
    <row r="109" spans="1:4" x14ac:dyDescent="0.25">
      <c r="A109" s="42" t="s">
        <v>561</v>
      </c>
      <c r="B109" s="42" t="s">
        <v>562</v>
      </c>
      <c r="C109" s="42" t="s">
        <v>328</v>
      </c>
      <c r="D109" s="4"/>
    </row>
    <row r="110" spans="1:4" x14ac:dyDescent="0.25">
      <c r="A110" s="42" t="s">
        <v>563</v>
      </c>
      <c r="B110" s="42" t="s">
        <v>563</v>
      </c>
      <c r="C110" s="42" t="s">
        <v>393</v>
      </c>
      <c r="D110" s="4"/>
    </row>
    <row r="111" spans="1:4" x14ac:dyDescent="0.25">
      <c r="A111" s="42" t="s">
        <v>564</v>
      </c>
      <c r="B111" s="42" t="s">
        <v>565</v>
      </c>
      <c r="C111" s="42" t="s">
        <v>566</v>
      </c>
      <c r="D111" s="4"/>
    </row>
    <row r="112" spans="1:4" x14ac:dyDescent="0.25">
      <c r="A112" s="42" t="s">
        <v>567</v>
      </c>
      <c r="B112" s="42" t="s">
        <v>567</v>
      </c>
      <c r="C112" s="42" t="s">
        <v>328</v>
      </c>
      <c r="D112" s="4"/>
    </row>
    <row r="113" spans="1:5" x14ac:dyDescent="0.25">
      <c r="A113" s="42" t="s">
        <v>568</v>
      </c>
      <c r="B113" s="42" t="s">
        <v>569</v>
      </c>
      <c r="C113" s="42" t="s">
        <v>328</v>
      </c>
      <c r="D113" s="4"/>
    </row>
    <row r="114" spans="1:5" x14ac:dyDescent="0.25">
      <c r="A114" s="42" t="s">
        <v>570</v>
      </c>
      <c r="B114" s="42" t="s">
        <v>570</v>
      </c>
      <c r="C114" s="42" t="s">
        <v>393</v>
      </c>
      <c r="D114" s="4"/>
    </row>
    <row r="115" spans="1:5" x14ac:dyDescent="0.25">
      <c r="A115" s="42" t="s">
        <v>571</v>
      </c>
      <c r="B115" s="42" t="s">
        <v>572</v>
      </c>
      <c r="C115" s="42" t="s">
        <v>362</v>
      </c>
      <c r="D115" s="4"/>
    </row>
    <row r="116" spans="1:5" x14ac:dyDescent="0.25">
      <c r="A116" s="42" t="s">
        <v>573</v>
      </c>
      <c r="B116" s="42" t="s">
        <v>573</v>
      </c>
      <c r="C116" s="42" t="s">
        <v>332</v>
      </c>
      <c r="D116" s="4"/>
    </row>
    <row r="117" spans="1:5" x14ac:dyDescent="0.25">
      <c r="A117" s="42" t="s">
        <v>574</v>
      </c>
      <c r="B117" s="42" t="s">
        <v>575</v>
      </c>
      <c r="C117" s="42" t="s">
        <v>576</v>
      </c>
      <c r="D117" s="4"/>
    </row>
    <row r="118" spans="1:5" x14ac:dyDescent="0.25">
      <c r="A118" s="42" t="s">
        <v>577</v>
      </c>
      <c r="B118" s="42" t="s">
        <v>578</v>
      </c>
      <c r="C118" s="42" t="s">
        <v>579</v>
      </c>
      <c r="D118" s="4"/>
    </row>
    <row r="119" spans="1:5" x14ac:dyDescent="0.25">
      <c r="A119" s="42" t="s">
        <v>580</v>
      </c>
      <c r="B119" s="42" t="s">
        <v>581</v>
      </c>
      <c r="C119" s="42" t="s">
        <v>332</v>
      </c>
      <c r="D119" s="4"/>
    </row>
    <row r="120" spans="1:5" x14ac:dyDescent="0.25">
      <c r="A120" s="42" t="s">
        <v>582</v>
      </c>
      <c r="B120" s="42" t="s">
        <v>583</v>
      </c>
      <c r="C120" s="42" t="s">
        <v>328</v>
      </c>
      <c r="D120" s="4"/>
    </row>
    <row r="121" spans="1:5" x14ac:dyDescent="0.25">
      <c r="A121" s="42" t="s">
        <v>584</v>
      </c>
      <c r="B121" s="42" t="s">
        <v>585</v>
      </c>
      <c r="C121" s="42" t="s">
        <v>332</v>
      </c>
      <c r="D121" s="4"/>
    </row>
    <row r="122" spans="1:5" x14ac:dyDescent="0.25">
      <c r="A122" s="42" t="s">
        <v>586</v>
      </c>
      <c r="B122" s="42" t="s">
        <v>586</v>
      </c>
      <c r="C122" s="42" t="s">
        <v>587</v>
      </c>
      <c r="D122" s="4"/>
    </row>
    <row r="123" spans="1:5" x14ac:dyDescent="0.25">
      <c r="A123" s="42" t="s">
        <v>588</v>
      </c>
      <c r="B123" s="42" t="s">
        <v>589</v>
      </c>
      <c r="C123" s="42"/>
      <c r="D123" s="4"/>
      <c r="E123">
        <v>10000</v>
      </c>
    </row>
    <row r="124" spans="1:5" x14ac:dyDescent="0.25">
      <c r="A124" s="42" t="s">
        <v>590</v>
      </c>
      <c r="B124" s="42" t="s">
        <v>591</v>
      </c>
      <c r="C124" s="42" t="s">
        <v>332</v>
      </c>
      <c r="D124" s="4"/>
    </row>
    <row r="125" spans="1:5" x14ac:dyDescent="0.25">
      <c r="A125" s="42" t="s">
        <v>592</v>
      </c>
      <c r="B125" s="42" t="s">
        <v>593</v>
      </c>
      <c r="C125" s="42" t="s">
        <v>328</v>
      </c>
      <c r="D125" s="4"/>
    </row>
    <row r="126" spans="1:5" x14ac:dyDescent="0.25">
      <c r="A126" s="42" t="s">
        <v>594</v>
      </c>
      <c r="B126" s="42" t="s">
        <v>594</v>
      </c>
      <c r="C126" s="42" t="s">
        <v>72</v>
      </c>
      <c r="D126" s="4"/>
    </row>
    <row r="127" spans="1:5" x14ac:dyDescent="0.25">
      <c r="A127" s="42" t="s">
        <v>595</v>
      </c>
      <c r="B127" s="42" t="s">
        <v>596</v>
      </c>
      <c r="C127" s="42" t="s">
        <v>597</v>
      </c>
      <c r="D127" s="4"/>
    </row>
    <row r="128" spans="1:5" x14ac:dyDescent="0.25">
      <c r="A128" s="42" t="s">
        <v>596</v>
      </c>
      <c r="B128" s="42" t="s">
        <v>596</v>
      </c>
      <c r="C128" s="42" t="s">
        <v>598</v>
      </c>
      <c r="D128" s="4"/>
    </row>
    <row r="129" spans="1:5" x14ac:dyDescent="0.25">
      <c r="A129" s="42" t="s">
        <v>599</v>
      </c>
      <c r="B129" s="42" t="s">
        <v>600</v>
      </c>
      <c r="C129" s="42" t="s">
        <v>601</v>
      </c>
      <c r="D129" s="4"/>
    </row>
    <row r="130" spans="1:5" x14ac:dyDescent="0.25">
      <c r="A130" s="42" t="s">
        <v>602</v>
      </c>
      <c r="B130" s="42" t="s">
        <v>602</v>
      </c>
      <c r="C130" s="42" t="s">
        <v>393</v>
      </c>
      <c r="D130" s="4"/>
    </row>
    <row r="131" spans="1:5" x14ac:dyDescent="0.25">
      <c r="A131" s="42" t="s">
        <v>603</v>
      </c>
      <c r="B131" s="42" t="s">
        <v>604</v>
      </c>
      <c r="C131" s="42" t="s">
        <v>393</v>
      </c>
      <c r="D131" s="4"/>
    </row>
    <row r="132" spans="1:5" x14ac:dyDescent="0.25">
      <c r="A132" s="42" t="s">
        <v>605</v>
      </c>
      <c r="B132" s="42" t="s">
        <v>606</v>
      </c>
      <c r="C132" s="42" t="s">
        <v>607</v>
      </c>
      <c r="D132" s="4"/>
    </row>
    <row r="133" spans="1:5" x14ac:dyDescent="0.25">
      <c r="A133" s="42" t="s">
        <v>608</v>
      </c>
      <c r="B133" s="42" t="s">
        <v>609</v>
      </c>
      <c r="C133" s="42"/>
      <c r="D133" s="4"/>
      <c r="E133">
        <v>15</v>
      </c>
    </row>
    <row r="134" spans="1:5" x14ac:dyDescent="0.25">
      <c r="A134" s="42" t="s">
        <v>610</v>
      </c>
      <c r="B134" s="42" t="s">
        <v>610</v>
      </c>
      <c r="C134" s="42" t="s">
        <v>393</v>
      </c>
      <c r="D134" s="4"/>
    </row>
    <row r="135" spans="1:5" x14ac:dyDescent="0.25">
      <c r="A135" s="42" t="s">
        <v>611</v>
      </c>
      <c r="B135" s="42" t="s">
        <v>612</v>
      </c>
      <c r="C135" s="42"/>
      <c r="D135" s="4"/>
    </row>
    <row r="136" spans="1:5" x14ac:dyDescent="0.25">
      <c r="A136" s="42" t="s">
        <v>613</v>
      </c>
      <c r="B136" s="42" t="s">
        <v>613</v>
      </c>
      <c r="C136" s="42" t="s">
        <v>614</v>
      </c>
      <c r="D136" s="4"/>
    </row>
    <row r="137" spans="1:5" x14ac:dyDescent="0.25">
      <c r="A137" s="42" t="s">
        <v>615</v>
      </c>
      <c r="B137" s="42" t="s">
        <v>615</v>
      </c>
      <c r="C137" s="42" t="s">
        <v>393</v>
      </c>
      <c r="D137" s="4"/>
    </row>
    <row r="138" spans="1:5" x14ac:dyDescent="0.25">
      <c r="A138" s="42" t="s">
        <v>616</v>
      </c>
      <c r="B138" s="42" t="s">
        <v>617</v>
      </c>
      <c r="C138" s="42" t="s">
        <v>618</v>
      </c>
      <c r="D138" s="4"/>
    </row>
    <row r="139" spans="1:5" x14ac:dyDescent="0.25">
      <c r="A139" s="42" t="s">
        <v>619</v>
      </c>
      <c r="B139" s="42" t="s">
        <v>619</v>
      </c>
      <c r="C139" s="42" t="s">
        <v>620</v>
      </c>
      <c r="D139" s="4"/>
    </row>
    <row r="140" spans="1:5" x14ac:dyDescent="0.25">
      <c r="A140" s="42" t="s">
        <v>621</v>
      </c>
      <c r="B140" s="42" t="s">
        <v>621</v>
      </c>
      <c r="C140" s="42" t="s">
        <v>622</v>
      </c>
      <c r="D140" s="4"/>
    </row>
    <row r="141" spans="1:5" x14ac:dyDescent="0.25">
      <c r="A141" s="42" t="s">
        <v>623</v>
      </c>
      <c r="B141" s="42" t="s">
        <v>623</v>
      </c>
      <c r="C141" s="42" t="s">
        <v>624</v>
      </c>
      <c r="D141" s="4"/>
    </row>
    <row r="142" spans="1:5" x14ac:dyDescent="0.25">
      <c r="A142" s="42" t="s">
        <v>625</v>
      </c>
      <c r="B142" s="42" t="s">
        <v>626</v>
      </c>
      <c r="C142" s="42"/>
      <c r="D142" s="4"/>
      <c r="E142">
        <v>30</v>
      </c>
    </row>
    <row r="143" spans="1:5" x14ac:dyDescent="0.25">
      <c r="A143" s="42" t="s">
        <v>627</v>
      </c>
      <c r="B143" s="42" t="s">
        <v>627</v>
      </c>
      <c r="C143" s="42" t="s">
        <v>393</v>
      </c>
      <c r="D143" s="4"/>
    </row>
    <row r="144" spans="1:5" x14ac:dyDescent="0.25">
      <c r="A144" s="42" t="s">
        <v>628</v>
      </c>
      <c r="B144" s="42" t="s">
        <v>629</v>
      </c>
      <c r="C144" s="42" t="s">
        <v>328</v>
      </c>
      <c r="D144" s="4"/>
      <c r="E144">
        <v>1</v>
      </c>
    </row>
    <row r="145" spans="1:5" x14ac:dyDescent="0.25">
      <c r="A145" s="42" t="s">
        <v>630</v>
      </c>
      <c r="B145" s="42" t="s">
        <v>631</v>
      </c>
      <c r="C145" s="42" t="s">
        <v>362</v>
      </c>
      <c r="D145" s="4"/>
    </row>
    <row r="146" spans="1:5" x14ac:dyDescent="0.25">
      <c r="A146" s="42" t="s">
        <v>632</v>
      </c>
      <c r="B146" s="42" t="s">
        <v>633</v>
      </c>
      <c r="C146" s="42" t="s">
        <v>634</v>
      </c>
      <c r="D146" s="4"/>
    </row>
    <row r="147" spans="1:5" x14ac:dyDescent="0.25">
      <c r="A147" s="42" t="s">
        <v>635</v>
      </c>
      <c r="B147" s="42" t="s">
        <v>635</v>
      </c>
      <c r="C147" s="42" t="s">
        <v>636</v>
      </c>
      <c r="D147" s="4"/>
    </row>
    <row r="148" spans="1:5" x14ac:dyDescent="0.25">
      <c r="A148" s="42" t="s">
        <v>637</v>
      </c>
      <c r="B148" s="42" t="s">
        <v>638</v>
      </c>
      <c r="C148" s="42" t="s">
        <v>639</v>
      </c>
      <c r="D148" s="4"/>
    </row>
    <row r="149" spans="1:5" x14ac:dyDescent="0.25">
      <c r="A149" s="42" t="s">
        <v>640</v>
      </c>
      <c r="B149" s="42" t="s">
        <v>641</v>
      </c>
      <c r="C149" s="42" t="s">
        <v>634</v>
      </c>
      <c r="D149" s="4"/>
    </row>
    <row r="150" spans="1:5" x14ac:dyDescent="0.25">
      <c r="A150" s="42" t="s">
        <v>642</v>
      </c>
      <c r="B150" s="42" t="s">
        <v>643</v>
      </c>
      <c r="C150" s="42" t="s">
        <v>644</v>
      </c>
      <c r="D150" s="4"/>
    </row>
    <row r="151" spans="1:5" x14ac:dyDescent="0.25">
      <c r="A151" s="42" t="s">
        <v>645</v>
      </c>
      <c r="B151" s="42" t="s">
        <v>646</v>
      </c>
      <c r="C151" s="42" t="s">
        <v>647</v>
      </c>
      <c r="D151" s="4"/>
      <c r="E151">
        <v>1</v>
      </c>
    </row>
    <row r="152" spans="1:5" x14ac:dyDescent="0.25">
      <c r="A152" s="42" t="s">
        <v>648</v>
      </c>
      <c r="B152" s="42" t="s">
        <v>649</v>
      </c>
      <c r="C152" s="42" t="s">
        <v>650</v>
      </c>
      <c r="D152" s="4"/>
      <c r="E152">
        <v>1</v>
      </c>
    </row>
    <row r="153" spans="1:5" x14ac:dyDescent="0.25">
      <c r="A153" s="42" t="s">
        <v>651</v>
      </c>
      <c r="B153" s="42" t="s">
        <v>652</v>
      </c>
      <c r="C153" s="42" t="s">
        <v>354</v>
      </c>
      <c r="D153" s="4"/>
      <c r="E153">
        <v>1</v>
      </c>
    </row>
    <row r="154" spans="1:5" x14ac:dyDescent="0.25">
      <c r="A154" s="42" t="s">
        <v>653</v>
      </c>
      <c r="B154" s="42" t="s">
        <v>653</v>
      </c>
      <c r="C154" s="42" t="s">
        <v>362</v>
      </c>
      <c r="D154" s="4"/>
    </row>
    <row r="155" spans="1:5" x14ac:dyDescent="0.25">
      <c r="A155" s="42" t="s">
        <v>654</v>
      </c>
      <c r="B155" s="42" t="s">
        <v>655</v>
      </c>
      <c r="C155" s="42" t="s">
        <v>656</v>
      </c>
      <c r="D155" s="4"/>
    </row>
    <row r="156" spans="1:5" x14ac:dyDescent="0.25">
      <c r="A156" s="42" t="s">
        <v>657</v>
      </c>
      <c r="B156" s="42" t="s">
        <v>658</v>
      </c>
      <c r="C156" s="42" t="s">
        <v>659</v>
      </c>
      <c r="D156" s="4"/>
    </row>
    <row r="157" spans="1:5" x14ac:dyDescent="0.25">
      <c r="A157" s="42" t="s">
        <v>660</v>
      </c>
      <c r="B157" s="42" t="s">
        <v>661</v>
      </c>
      <c r="C157" s="42" t="s">
        <v>659</v>
      </c>
      <c r="D157" s="4"/>
    </row>
    <row r="158" spans="1:5" x14ac:dyDescent="0.25">
      <c r="A158" s="42" t="s">
        <v>662</v>
      </c>
      <c r="B158" s="42" t="s">
        <v>663</v>
      </c>
      <c r="C158" s="42" t="s">
        <v>351</v>
      </c>
      <c r="D158" s="4"/>
    </row>
    <row r="159" spans="1:5" x14ac:dyDescent="0.25">
      <c r="A159" s="42" t="s">
        <v>664</v>
      </c>
      <c r="B159" s="42" t="s">
        <v>665</v>
      </c>
      <c r="C159" s="42" t="s">
        <v>666</v>
      </c>
      <c r="D159" s="4"/>
    </row>
    <row r="160" spans="1:5" x14ac:dyDescent="0.25">
      <c r="A160" s="42" t="s">
        <v>667</v>
      </c>
      <c r="B160" s="42" t="s">
        <v>668</v>
      </c>
      <c r="C160" s="42" t="s">
        <v>362</v>
      </c>
      <c r="D160" s="4"/>
    </row>
    <row r="161" spans="1:5" x14ac:dyDescent="0.25">
      <c r="A161" s="42" t="s">
        <v>669</v>
      </c>
      <c r="B161" s="42" t="s">
        <v>669</v>
      </c>
      <c r="C161" s="42" t="s">
        <v>344</v>
      </c>
      <c r="D161" s="4"/>
    </row>
    <row r="162" spans="1:5" x14ac:dyDescent="0.25">
      <c r="A162" s="42" t="s">
        <v>670</v>
      </c>
      <c r="B162" s="42" t="s">
        <v>671</v>
      </c>
      <c r="C162" s="42" t="s">
        <v>672</v>
      </c>
      <c r="D162" s="4"/>
    </row>
    <row r="163" spans="1:5" x14ac:dyDescent="0.25">
      <c r="A163" s="42" t="s">
        <v>673</v>
      </c>
      <c r="B163" s="42" t="s">
        <v>674</v>
      </c>
      <c r="C163" s="42" t="s">
        <v>672</v>
      </c>
      <c r="D163" s="4"/>
    </row>
    <row r="164" spans="1:5" x14ac:dyDescent="0.25">
      <c r="A164" s="42" t="s">
        <v>675</v>
      </c>
      <c r="B164" s="42" t="s">
        <v>676</v>
      </c>
      <c r="C164" s="42" t="s">
        <v>672</v>
      </c>
      <c r="D164" s="4"/>
    </row>
    <row r="165" spans="1:5" x14ac:dyDescent="0.25">
      <c r="A165" s="42" t="s">
        <v>677</v>
      </c>
      <c r="B165" s="42" t="s">
        <v>678</v>
      </c>
      <c r="C165" s="42" t="s">
        <v>672</v>
      </c>
      <c r="D165" s="4"/>
    </row>
    <row r="166" spans="1:5" x14ac:dyDescent="0.25">
      <c r="A166" s="42" t="s">
        <v>679</v>
      </c>
      <c r="B166" s="42" t="s">
        <v>680</v>
      </c>
      <c r="C166" s="42" t="s">
        <v>672</v>
      </c>
      <c r="D166" s="4"/>
    </row>
    <row r="167" spans="1:5" x14ac:dyDescent="0.25">
      <c r="A167" s="42" t="s">
        <v>681</v>
      </c>
      <c r="B167" s="42" t="s">
        <v>682</v>
      </c>
      <c r="C167" s="42" t="s">
        <v>672</v>
      </c>
      <c r="D167" s="4"/>
    </row>
    <row r="168" spans="1:5" x14ac:dyDescent="0.25">
      <c r="A168" s="42" t="s">
        <v>683</v>
      </c>
      <c r="B168" s="42" t="s">
        <v>684</v>
      </c>
      <c r="C168" s="42" t="s">
        <v>672</v>
      </c>
      <c r="D168" s="4"/>
    </row>
    <row r="169" spans="1:5" x14ac:dyDescent="0.25">
      <c r="A169" s="42" t="s">
        <v>685</v>
      </c>
      <c r="B169" s="42" t="s">
        <v>686</v>
      </c>
      <c r="C169" s="42" t="s">
        <v>672</v>
      </c>
      <c r="D169" s="4"/>
    </row>
    <row r="170" spans="1:5" x14ac:dyDescent="0.25">
      <c r="A170" s="42" t="s">
        <v>687</v>
      </c>
      <c r="B170" s="42" t="s">
        <v>688</v>
      </c>
      <c r="C170" s="42" t="s">
        <v>672</v>
      </c>
      <c r="D170" s="4"/>
    </row>
    <row r="171" spans="1:5" x14ac:dyDescent="0.25">
      <c r="A171" s="42" t="s">
        <v>689</v>
      </c>
      <c r="B171" s="42" t="s">
        <v>690</v>
      </c>
      <c r="C171" s="42" t="s">
        <v>393</v>
      </c>
      <c r="D171" s="4"/>
    </row>
    <row r="172" spans="1:5" x14ac:dyDescent="0.25">
      <c r="A172" s="42" t="s">
        <v>691</v>
      </c>
      <c r="B172" s="42" t="s">
        <v>691</v>
      </c>
      <c r="C172" s="42" t="s">
        <v>332</v>
      </c>
      <c r="D172" s="4"/>
    </row>
    <row r="173" spans="1:5" x14ac:dyDescent="0.25">
      <c r="A173" s="42" t="s">
        <v>692</v>
      </c>
      <c r="B173" s="42" t="s">
        <v>693</v>
      </c>
      <c r="C173" s="42" t="s">
        <v>328</v>
      </c>
      <c r="D173" s="4"/>
    </row>
    <row r="174" spans="1:5" x14ac:dyDescent="0.25">
      <c r="A174" s="42" t="s">
        <v>694</v>
      </c>
      <c r="B174" s="42" t="s">
        <v>694</v>
      </c>
      <c r="C174" s="42" t="s">
        <v>695</v>
      </c>
      <c r="D174" s="4"/>
    </row>
    <row r="175" spans="1:5" x14ac:dyDescent="0.25">
      <c r="A175" s="42" t="s">
        <v>696</v>
      </c>
      <c r="B175" s="42" t="s">
        <v>697</v>
      </c>
      <c r="C175" s="42" t="s">
        <v>328</v>
      </c>
      <c r="D175" s="4"/>
    </row>
    <row r="176" spans="1:5" x14ac:dyDescent="0.25">
      <c r="A176" s="42" t="s">
        <v>698</v>
      </c>
      <c r="B176" s="42" t="s">
        <v>699</v>
      </c>
      <c r="C176" s="42"/>
      <c r="D176" s="4"/>
      <c r="E176">
        <v>30</v>
      </c>
    </row>
    <row r="177" spans="1:4" x14ac:dyDescent="0.25">
      <c r="A177" s="42" t="s">
        <v>700</v>
      </c>
      <c r="B177" s="42" t="s">
        <v>701</v>
      </c>
      <c r="C177" s="42" t="s">
        <v>393</v>
      </c>
      <c r="D177" s="4"/>
    </row>
    <row r="178" spans="1:4" x14ac:dyDescent="0.25">
      <c r="A178" s="42" t="s">
        <v>702</v>
      </c>
      <c r="B178" s="42" t="s">
        <v>702</v>
      </c>
      <c r="C178" s="42" t="s">
        <v>332</v>
      </c>
      <c r="D178" s="4"/>
    </row>
    <row r="179" spans="1:4" x14ac:dyDescent="0.25">
      <c r="A179" s="42" t="s">
        <v>703</v>
      </c>
      <c r="B179" s="42" t="s">
        <v>703</v>
      </c>
      <c r="C179" s="42" t="s">
        <v>367</v>
      </c>
      <c r="D179" s="4"/>
    </row>
    <row r="180" spans="1:4" x14ac:dyDescent="0.25">
      <c r="A180" s="42" t="s">
        <v>704</v>
      </c>
      <c r="B180" s="42" t="s">
        <v>704</v>
      </c>
      <c r="C180" s="42" t="s">
        <v>367</v>
      </c>
      <c r="D180" s="4"/>
    </row>
    <row r="181" spans="1:4" x14ac:dyDescent="0.25">
      <c r="A181" s="42" t="s">
        <v>705</v>
      </c>
      <c r="B181" s="42" t="s">
        <v>705</v>
      </c>
      <c r="C181" s="42" t="s">
        <v>367</v>
      </c>
      <c r="D181" s="4"/>
    </row>
    <row r="182" spans="1:4" x14ac:dyDescent="0.25">
      <c r="A182" s="42" t="s">
        <v>706</v>
      </c>
      <c r="B182" s="42" t="s">
        <v>706</v>
      </c>
      <c r="C182" s="42" t="s">
        <v>367</v>
      </c>
      <c r="D182" s="4"/>
    </row>
    <row r="183" spans="1:4" x14ac:dyDescent="0.25">
      <c r="A183" s="42" t="s">
        <v>707</v>
      </c>
      <c r="B183" s="42" t="s">
        <v>707</v>
      </c>
      <c r="C183" s="42" t="s">
        <v>367</v>
      </c>
      <c r="D183" s="4"/>
    </row>
    <row r="184" spans="1:4" x14ac:dyDescent="0.25">
      <c r="A184" s="42" t="s">
        <v>708</v>
      </c>
      <c r="B184" s="42" t="s">
        <v>708</v>
      </c>
      <c r="C184" s="42" t="s">
        <v>367</v>
      </c>
      <c r="D184" s="4"/>
    </row>
    <row r="185" spans="1:4" x14ac:dyDescent="0.25">
      <c r="A185" s="42" t="s">
        <v>709</v>
      </c>
      <c r="B185" s="42" t="s">
        <v>709</v>
      </c>
      <c r="C185" s="42" t="s">
        <v>367</v>
      </c>
      <c r="D185" s="4"/>
    </row>
    <row r="186" spans="1:4" x14ac:dyDescent="0.25">
      <c r="A186" s="42" t="s">
        <v>710</v>
      </c>
      <c r="B186" s="42" t="s">
        <v>710</v>
      </c>
      <c r="C186" s="42" t="s">
        <v>393</v>
      </c>
      <c r="D186" s="4"/>
    </row>
    <row r="187" spans="1:4" x14ac:dyDescent="0.25">
      <c r="A187" s="42" t="s">
        <v>711</v>
      </c>
      <c r="B187" s="42"/>
      <c r="C187" s="42" t="s">
        <v>362</v>
      </c>
      <c r="D187" s="4"/>
    </row>
    <row r="188" spans="1:4" x14ac:dyDescent="0.25">
      <c r="A188" s="42" t="s">
        <v>712</v>
      </c>
      <c r="B188" s="42" t="s">
        <v>712</v>
      </c>
      <c r="C188" s="42" t="s">
        <v>351</v>
      </c>
      <c r="D188" s="4"/>
    </row>
    <row r="189" spans="1:4" x14ac:dyDescent="0.25">
      <c r="A189" s="42" t="s">
        <v>713</v>
      </c>
      <c r="B189" s="42" t="s">
        <v>713</v>
      </c>
      <c r="C189" s="42" t="s">
        <v>72</v>
      </c>
      <c r="D189" s="4"/>
    </row>
    <row r="190" spans="1:4" x14ac:dyDescent="0.25">
      <c r="A190" s="42" t="s">
        <v>714</v>
      </c>
      <c r="B190" s="42" t="s">
        <v>715</v>
      </c>
      <c r="C190" s="42" t="s">
        <v>520</v>
      </c>
      <c r="D190" s="4"/>
    </row>
    <row r="191" spans="1:4" x14ac:dyDescent="0.25">
      <c r="A191" s="42" t="s">
        <v>716</v>
      </c>
      <c r="B191" s="42" t="s">
        <v>716</v>
      </c>
      <c r="C191" s="42" t="s">
        <v>332</v>
      </c>
      <c r="D191" s="4"/>
    </row>
    <row r="192" spans="1:4" x14ac:dyDescent="0.25">
      <c r="A192" s="42" t="s">
        <v>717</v>
      </c>
      <c r="B192" s="42" t="s">
        <v>717</v>
      </c>
      <c r="C192" s="42" t="s">
        <v>332</v>
      </c>
      <c r="D192" s="4"/>
    </row>
    <row r="193" spans="1:5" x14ac:dyDescent="0.25">
      <c r="A193" s="42" t="s">
        <v>718</v>
      </c>
      <c r="B193" s="42" t="s">
        <v>718</v>
      </c>
      <c r="C193" s="42" t="s">
        <v>332</v>
      </c>
      <c r="D193" s="4"/>
    </row>
    <row r="194" spans="1:5" x14ac:dyDescent="0.25">
      <c r="A194" s="42" t="s">
        <v>719</v>
      </c>
      <c r="B194" s="42" t="s">
        <v>720</v>
      </c>
      <c r="C194" s="42"/>
      <c r="D194" s="4"/>
      <c r="E194">
        <v>1</v>
      </c>
    </row>
    <row r="195" spans="1:5" x14ac:dyDescent="0.25">
      <c r="A195" s="42" t="s">
        <v>721</v>
      </c>
      <c r="B195" s="42" t="s">
        <v>722</v>
      </c>
      <c r="C195" s="42"/>
      <c r="D195" s="4"/>
      <c r="E195">
        <v>5</v>
      </c>
    </row>
    <row r="196" spans="1:5" x14ac:dyDescent="0.25">
      <c r="A196" s="42" t="s">
        <v>723</v>
      </c>
      <c r="B196" s="42" t="s">
        <v>723</v>
      </c>
      <c r="C196" s="42"/>
      <c r="D196" s="4"/>
      <c r="E196">
        <v>0</v>
      </c>
    </row>
    <row r="197" spans="1:5" x14ac:dyDescent="0.25">
      <c r="A197" s="42" t="s">
        <v>724</v>
      </c>
      <c r="B197" s="42" t="s">
        <v>724</v>
      </c>
      <c r="C197" s="42" t="s">
        <v>328</v>
      </c>
      <c r="D197" s="4"/>
    </row>
    <row r="198" spans="1:5" x14ac:dyDescent="0.25">
      <c r="A198" s="42" t="s">
        <v>725</v>
      </c>
      <c r="B198" s="42" t="s">
        <v>726</v>
      </c>
      <c r="C198" s="42"/>
      <c r="D198" s="4"/>
      <c r="E198">
        <v>2</v>
      </c>
    </row>
    <row r="199" spans="1:5" x14ac:dyDescent="0.25">
      <c r="A199" s="42" t="s">
        <v>727</v>
      </c>
      <c r="B199" s="42" t="s">
        <v>728</v>
      </c>
      <c r="C199" s="42"/>
      <c r="D199" s="4"/>
      <c r="E199">
        <v>100000</v>
      </c>
    </row>
    <row r="200" spans="1:5" x14ac:dyDescent="0.25">
      <c r="A200" s="42" t="s">
        <v>729</v>
      </c>
      <c r="B200" s="42"/>
      <c r="C200" s="42" t="s">
        <v>351</v>
      </c>
      <c r="D200" s="4"/>
    </row>
    <row r="201" spans="1:5" x14ac:dyDescent="0.25">
      <c r="A201" s="42" t="s">
        <v>730</v>
      </c>
      <c r="B201" s="42" t="s">
        <v>731</v>
      </c>
      <c r="C201" s="42" t="s">
        <v>328</v>
      </c>
      <c r="D201" s="4"/>
    </row>
    <row r="202" spans="1:5" x14ac:dyDescent="0.25">
      <c r="A202" s="42" t="s">
        <v>732</v>
      </c>
      <c r="B202" s="42" t="s">
        <v>732</v>
      </c>
      <c r="C202" s="42" t="s">
        <v>733</v>
      </c>
      <c r="D202" s="4"/>
    </row>
    <row r="203" spans="1:5" x14ac:dyDescent="0.25">
      <c r="A203" s="42" t="s">
        <v>734</v>
      </c>
      <c r="B203" s="42" t="s">
        <v>72</v>
      </c>
      <c r="C203" s="42" t="s">
        <v>492</v>
      </c>
      <c r="D203" s="4"/>
    </row>
    <row r="204" spans="1:5" x14ac:dyDescent="0.25">
      <c r="A204" s="42" t="s">
        <v>735</v>
      </c>
      <c r="B204" s="42" t="s">
        <v>736</v>
      </c>
      <c r="C204" s="42" t="s">
        <v>354</v>
      </c>
      <c r="D204" s="4"/>
    </row>
    <row r="205" spans="1:5" x14ac:dyDescent="0.25">
      <c r="A205" s="42" t="s">
        <v>737</v>
      </c>
      <c r="B205" s="42" t="s">
        <v>737</v>
      </c>
      <c r="C205" s="42" t="s">
        <v>328</v>
      </c>
      <c r="D205" s="4"/>
    </row>
    <row r="206" spans="1:5" x14ac:dyDescent="0.25">
      <c r="A206" s="42" t="s">
        <v>738</v>
      </c>
      <c r="B206" s="42" t="s">
        <v>738</v>
      </c>
      <c r="C206" s="42" t="s">
        <v>636</v>
      </c>
      <c r="D206" s="4"/>
    </row>
    <row r="207" spans="1:5" x14ac:dyDescent="0.25">
      <c r="A207" s="42" t="s">
        <v>739</v>
      </c>
      <c r="B207" s="42" t="s">
        <v>740</v>
      </c>
      <c r="C207" s="42" t="s">
        <v>393</v>
      </c>
      <c r="D207" s="4"/>
      <c r="E207">
        <v>1</v>
      </c>
    </row>
    <row r="208" spans="1:5" x14ac:dyDescent="0.25">
      <c r="A208" s="42" t="s">
        <v>741</v>
      </c>
      <c r="B208" s="42" t="s">
        <v>741</v>
      </c>
      <c r="C208" s="42" t="s">
        <v>332</v>
      </c>
      <c r="D208" s="4"/>
    </row>
    <row r="209" spans="1:5" x14ac:dyDescent="0.25">
      <c r="A209" s="42" t="s">
        <v>742</v>
      </c>
      <c r="B209" s="42" t="s">
        <v>742</v>
      </c>
      <c r="C209" s="42" t="s">
        <v>328</v>
      </c>
      <c r="D209" s="4"/>
    </row>
    <row r="210" spans="1:5" x14ac:dyDescent="0.25">
      <c r="A210" s="42" t="s">
        <v>743</v>
      </c>
      <c r="B210" s="42" t="s">
        <v>744</v>
      </c>
      <c r="C210" s="42" t="s">
        <v>367</v>
      </c>
      <c r="D210" s="4"/>
    </row>
    <row r="211" spans="1:5" x14ac:dyDescent="0.25">
      <c r="A211" s="42" t="s">
        <v>745</v>
      </c>
      <c r="B211" s="42" t="s">
        <v>745</v>
      </c>
      <c r="C211" s="42" t="s">
        <v>328</v>
      </c>
      <c r="D211" s="4"/>
    </row>
    <row r="212" spans="1:5" x14ac:dyDescent="0.25">
      <c r="A212" s="42" t="s">
        <v>746</v>
      </c>
      <c r="B212" s="42" t="s">
        <v>746</v>
      </c>
      <c r="C212" s="42" t="s">
        <v>328</v>
      </c>
      <c r="D212" s="4"/>
    </row>
    <row r="213" spans="1:5" x14ac:dyDescent="0.25">
      <c r="A213" s="42" t="s">
        <v>747</v>
      </c>
      <c r="B213" s="42" t="s">
        <v>747</v>
      </c>
      <c r="C213" s="42" t="s">
        <v>328</v>
      </c>
      <c r="D213" s="4"/>
    </row>
    <row r="214" spans="1:5" x14ac:dyDescent="0.25">
      <c r="A214" s="42" t="s">
        <v>748</v>
      </c>
      <c r="B214" s="42" t="s">
        <v>748</v>
      </c>
      <c r="C214" s="42"/>
      <c r="D214" s="4"/>
      <c r="E214">
        <v>25</v>
      </c>
    </row>
    <row r="215" spans="1:5" x14ac:dyDescent="0.25">
      <c r="A215" s="42" t="s">
        <v>749</v>
      </c>
      <c r="B215" s="42" t="s">
        <v>750</v>
      </c>
      <c r="C215" s="42" t="s">
        <v>328</v>
      </c>
      <c r="D215" s="4"/>
    </row>
    <row r="216" spans="1:5" x14ac:dyDescent="0.25">
      <c r="A216" s="42" t="s">
        <v>751</v>
      </c>
      <c r="B216" s="42" t="s">
        <v>751</v>
      </c>
      <c r="C216" s="42" t="s">
        <v>367</v>
      </c>
      <c r="D216" s="4"/>
    </row>
    <row r="217" spans="1:5" x14ac:dyDescent="0.25">
      <c r="A217" s="42" t="s">
        <v>752</v>
      </c>
      <c r="B217" s="42" t="s">
        <v>753</v>
      </c>
      <c r="C217" s="42" t="s">
        <v>328</v>
      </c>
      <c r="D217" s="4"/>
    </row>
    <row r="218" spans="1:5" x14ac:dyDescent="0.25">
      <c r="A218" s="42" t="s">
        <v>754</v>
      </c>
      <c r="B218" s="42" t="s">
        <v>754</v>
      </c>
      <c r="C218" s="42" t="s">
        <v>393</v>
      </c>
      <c r="D218" s="4"/>
    </row>
    <row r="219" spans="1:5" x14ac:dyDescent="0.25">
      <c r="A219" s="42" t="s">
        <v>755</v>
      </c>
      <c r="B219" s="42" t="s">
        <v>756</v>
      </c>
      <c r="C219" s="42" t="s">
        <v>393</v>
      </c>
      <c r="D219" s="4"/>
    </row>
    <row r="220" spans="1:5" x14ac:dyDescent="0.25">
      <c r="A220" s="42" t="s">
        <v>757</v>
      </c>
      <c r="B220" s="42" t="s">
        <v>758</v>
      </c>
      <c r="C220" s="42" t="s">
        <v>332</v>
      </c>
      <c r="D220" s="4"/>
      <c r="E220">
        <v>1</v>
      </c>
    </row>
    <row r="221" spans="1:5" x14ac:dyDescent="0.25">
      <c r="A221" s="42" t="s">
        <v>759</v>
      </c>
      <c r="B221" s="42" t="s">
        <v>760</v>
      </c>
      <c r="C221" s="42" t="s">
        <v>367</v>
      </c>
      <c r="D221" s="4"/>
    </row>
    <row r="222" spans="1:5" x14ac:dyDescent="0.25">
      <c r="A222" s="42" t="s">
        <v>761</v>
      </c>
      <c r="B222" s="42" t="s">
        <v>762</v>
      </c>
      <c r="C222" s="42" t="s">
        <v>367</v>
      </c>
      <c r="D222" s="4"/>
    </row>
    <row r="223" spans="1:5" x14ac:dyDescent="0.25">
      <c r="A223" s="42" t="s">
        <v>763</v>
      </c>
      <c r="B223" s="42" t="s">
        <v>763</v>
      </c>
      <c r="C223" s="42" t="s">
        <v>332</v>
      </c>
      <c r="D223" s="4"/>
    </row>
    <row r="224" spans="1:5" x14ac:dyDescent="0.25">
      <c r="A224" s="42" t="s">
        <v>764</v>
      </c>
      <c r="B224" s="42" t="s">
        <v>765</v>
      </c>
      <c r="C224" s="42" t="s">
        <v>328</v>
      </c>
      <c r="D224" s="4"/>
    </row>
    <row r="225" spans="1:5" x14ac:dyDescent="0.25">
      <c r="A225" s="42" t="s">
        <v>766</v>
      </c>
      <c r="B225" s="42" t="s">
        <v>766</v>
      </c>
      <c r="C225" s="42" t="s">
        <v>328</v>
      </c>
      <c r="D225" s="4"/>
    </row>
    <row r="226" spans="1:5" x14ac:dyDescent="0.25">
      <c r="A226" s="42" t="s">
        <v>767</v>
      </c>
      <c r="B226" s="42" t="s">
        <v>768</v>
      </c>
      <c r="C226" s="42" t="s">
        <v>332</v>
      </c>
      <c r="D226" s="4"/>
    </row>
    <row r="227" spans="1:5" x14ac:dyDescent="0.25">
      <c r="A227" s="42" t="s">
        <v>769</v>
      </c>
      <c r="B227" s="42" t="s">
        <v>769</v>
      </c>
      <c r="C227" s="42" t="s">
        <v>393</v>
      </c>
      <c r="D227" s="4"/>
    </row>
    <row r="228" spans="1:5" x14ac:dyDescent="0.25">
      <c r="A228" s="42" t="s">
        <v>770</v>
      </c>
      <c r="B228" s="42" t="s">
        <v>770</v>
      </c>
      <c r="C228" s="42" t="s">
        <v>393</v>
      </c>
      <c r="D228" s="4"/>
    </row>
    <row r="229" spans="1:5" x14ac:dyDescent="0.25">
      <c r="A229" s="42" t="s">
        <v>771</v>
      </c>
      <c r="B229" s="42" t="s">
        <v>772</v>
      </c>
      <c r="C229" s="42" t="s">
        <v>328</v>
      </c>
      <c r="D229" s="4"/>
    </row>
    <row r="230" spans="1:5" x14ac:dyDescent="0.25">
      <c r="A230" s="42" t="s">
        <v>773</v>
      </c>
      <c r="B230" s="42" t="s">
        <v>774</v>
      </c>
      <c r="C230" s="42" t="s">
        <v>393</v>
      </c>
      <c r="D230" s="4"/>
    </row>
    <row r="231" spans="1:5" x14ac:dyDescent="0.25">
      <c r="A231" s="42" t="s">
        <v>775</v>
      </c>
      <c r="B231" s="42" t="s">
        <v>775</v>
      </c>
      <c r="C231" s="42" t="s">
        <v>367</v>
      </c>
      <c r="D231" s="4"/>
    </row>
    <row r="232" spans="1:5" x14ac:dyDescent="0.25">
      <c r="A232" s="42" t="s">
        <v>776</v>
      </c>
      <c r="B232" s="42" t="s">
        <v>777</v>
      </c>
      <c r="C232" s="42" t="s">
        <v>393</v>
      </c>
      <c r="D232" s="4"/>
    </row>
    <row r="233" spans="1:5" x14ac:dyDescent="0.25">
      <c r="A233" s="42" t="s">
        <v>778</v>
      </c>
      <c r="B233" s="42" t="s">
        <v>778</v>
      </c>
      <c r="C233" s="42" t="s">
        <v>393</v>
      </c>
      <c r="D233" s="4"/>
    </row>
    <row r="234" spans="1:5" x14ac:dyDescent="0.25">
      <c r="A234" s="42" t="s">
        <v>779</v>
      </c>
      <c r="B234" s="42" t="s">
        <v>780</v>
      </c>
      <c r="C234" s="42" t="s">
        <v>328</v>
      </c>
      <c r="D234" s="4"/>
      <c r="E234">
        <v>1</v>
      </c>
    </row>
    <row r="235" spans="1:5" x14ac:dyDescent="0.25">
      <c r="A235" s="42" t="s">
        <v>781</v>
      </c>
      <c r="B235" s="42" t="s">
        <v>781</v>
      </c>
      <c r="C235" s="42" t="s">
        <v>393</v>
      </c>
      <c r="D235" s="4"/>
    </row>
    <row r="236" spans="1:5" x14ac:dyDescent="0.25">
      <c r="A236" s="42" t="s">
        <v>782</v>
      </c>
      <c r="B236" s="42" t="s">
        <v>782</v>
      </c>
      <c r="C236" s="42" t="s">
        <v>332</v>
      </c>
      <c r="D236" s="4"/>
    </row>
    <row r="237" spans="1:5" x14ac:dyDescent="0.25">
      <c r="A237" s="42" t="s">
        <v>783</v>
      </c>
      <c r="B237" s="42" t="s">
        <v>783</v>
      </c>
      <c r="C237" s="42" t="s">
        <v>393</v>
      </c>
      <c r="D237" s="4"/>
    </row>
    <row r="238" spans="1:5" x14ac:dyDescent="0.25">
      <c r="A238" s="42" t="s">
        <v>784</v>
      </c>
      <c r="B238" s="42" t="s">
        <v>784</v>
      </c>
      <c r="C238" s="42" t="s">
        <v>332</v>
      </c>
      <c r="D238" s="4"/>
    </row>
    <row r="239" spans="1:5" x14ac:dyDescent="0.25">
      <c r="A239" s="42" t="s">
        <v>785</v>
      </c>
      <c r="B239" s="42" t="s">
        <v>786</v>
      </c>
      <c r="C239" s="42" t="s">
        <v>328</v>
      </c>
      <c r="D239" s="4"/>
    </row>
    <row r="240" spans="1:5" x14ac:dyDescent="0.25">
      <c r="A240" s="42" t="s">
        <v>787</v>
      </c>
      <c r="B240" s="42" t="s">
        <v>788</v>
      </c>
      <c r="C240" s="42" t="s">
        <v>328</v>
      </c>
      <c r="D240" s="4"/>
    </row>
    <row r="241" spans="1:4" x14ac:dyDescent="0.25">
      <c r="A241" s="42" t="s">
        <v>789</v>
      </c>
      <c r="B241" s="42" t="s">
        <v>790</v>
      </c>
      <c r="C241" s="42" t="s">
        <v>332</v>
      </c>
      <c r="D241" s="4"/>
    </row>
    <row r="242" spans="1:4" x14ac:dyDescent="0.25">
      <c r="A242" s="42" t="s">
        <v>791</v>
      </c>
      <c r="B242" s="42" t="s">
        <v>791</v>
      </c>
      <c r="C242" s="42" t="s">
        <v>328</v>
      </c>
      <c r="D242" s="4"/>
    </row>
    <row r="243" spans="1:4" x14ac:dyDescent="0.25">
      <c r="A243" s="42" t="s">
        <v>792</v>
      </c>
      <c r="B243" s="42" t="s">
        <v>792</v>
      </c>
      <c r="C243" s="42" t="s">
        <v>328</v>
      </c>
      <c r="D243" s="4"/>
    </row>
    <row r="244" spans="1:4" x14ac:dyDescent="0.25">
      <c r="A244" s="42" t="s">
        <v>793</v>
      </c>
      <c r="B244" s="42" t="s">
        <v>793</v>
      </c>
      <c r="C244" s="42" t="s">
        <v>328</v>
      </c>
      <c r="D244" s="4"/>
    </row>
    <row r="245" spans="1:4" x14ac:dyDescent="0.25">
      <c r="A245" s="42" t="s">
        <v>794</v>
      </c>
      <c r="B245" s="42" t="s">
        <v>795</v>
      </c>
      <c r="C245" s="42" t="s">
        <v>796</v>
      </c>
      <c r="D245" s="4"/>
    </row>
    <row r="246" spans="1:4" x14ac:dyDescent="0.25">
      <c r="A246" s="42" t="s">
        <v>797</v>
      </c>
      <c r="B246" s="42" t="s">
        <v>798</v>
      </c>
      <c r="C246" s="42" t="s">
        <v>799</v>
      </c>
      <c r="D246" s="4"/>
    </row>
    <row r="247" spans="1:4" x14ac:dyDescent="0.25">
      <c r="A247" s="42" t="s">
        <v>800</v>
      </c>
      <c r="B247" s="42" t="s">
        <v>800</v>
      </c>
      <c r="C247" s="42" t="s">
        <v>365</v>
      </c>
      <c r="D247" s="4"/>
    </row>
    <row r="248" spans="1:4" x14ac:dyDescent="0.25">
      <c r="A248" s="42" t="s">
        <v>801</v>
      </c>
      <c r="B248" s="42" t="s">
        <v>801</v>
      </c>
      <c r="C248" s="42" t="s">
        <v>332</v>
      </c>
      <c r="D248" s="4"/>
    </row>
    <row r="249" spans="1:4" x14ac:dyDescent="0.25">
      <c r="A249" s="42" t="s">
        <v>802</v>
      </c>
      <c r="B249" s="42" t="s">
        <v>803</v>
      </c>
      <c r="C249" s="42" t="s">
        <v>8</v>
      </c>
      <c r="D249" s="4"/>
    </row>
    <row r="250" spans="1:4" x14ac:dyDescent="0.25">
      <c r="A250" s="42" t="s">
        <v>804</v>
      </c>
      <c r="B250" s="42" t="s">
        <v>805</v>
      </c>
      <c r="C250" s="42" t="s">
        <v>328</v>
      </c>
      <c r="D250" s="4"/>
    </row>
    <row r="251" spans="1:4" x14ac:dyDescent="0.25">
      <c r="A251" s="42" t="s">
        <v>806</v>
      </c>
      <c r="B251" s="42" t="s">
        <v>807</v>
      </c>
      <c r="C251" s="42" t="s">
        <v>393</v>
      </c>
      <c r="D251" s="4"/>
    </row>
    <row r="252" spans="1:4" x14ac:dyDescent="0.25">
      <c r="A252" s="42" t="s">
        <v>808</v>
      </c>
      <c r="B252" s="42" t="s">
        <v>809</v>
      </c>
      <c r="C252" s="42" t="s">
        <v>810</v>
      </c>
      <c r="D252" s="4"/>
    </row>
    <row r="253" spans="1:4" x14ac:dyDescent="0.25">
      <c r="A253" s="42" t="s">
        <v>811</v>
      </c>
      <c r="B253" s="42" t="s">
        <v>812</v>
      </c>
      <c r="C253" s="42" t="s">
        <v>813</v>
      </c>
      <c r="D253" s="4"/>
    </row>
    <row r="254" spans="1:4" x14ac:dyDescent="0.25">
      <c r="A254" s="42" t="s">
        <v>814</v>
      </c>
      <c r="B254" s="42" t="s">
        <v>815</v>
      </c>
      <c r="C254" s="42" t="s">
        <v>816</v>
      </c>
      <c r="D254" s="4"/>
    </row>
    <row r="255" spans="1:4" x14ac:dyDescent="0.25">
      <c r="A255" s="42" t="s">
        <v>817</v>
      </c>
      <c r="B255" s="42" t="s">
        <v>817</v>
      </c>
      <c r="C255" s="42"/>
      <c r="D255" s="4">
        <v>45736.457143981483</v>
      </c>
    </row>
    <row r="256" spans="1:4" x14ac:dyDescent="0.25">
      <c r="A256" s="42" t="s">
        <v>818</v>
      </c>
      <c r="B256" s="42" t="s">
        <v>819</v>
      </c>
      <c r="C256" s="42" t="s">
        <v>520</v>
      </c>
      <c r="D256" s="4"/>
    </row>
    <row r="257" spans="1:5" x14ac:dyDescent="0.25">
      <c r="A257" s="42" t="s">
        <v>820</v>
      </c>
      <c r="B257" s="42" t="s">
        <v>821</v>
      </c>
      <c r="C257" s="42" t="s">
        <v>498</v>
      </c>
      <c r="D257" s="4"/>
    </row>
    <row r="258" spans="1:5" x14ac:dyDescent="0.25">
      <c r="A258" s="42" t="s">
        <v>822</v>
      </c>
      <c r="B258" s="42" t="s">
        <v>823</v>
      </c>
      <c r="C258" s="42" t="s">
        <v>824</v>
      </c>
      <c r="D258" s="4"/>
    </row>
    <row r="259" spans="1:5" x14ac:dyDescent="0.25">
      <c r="A259" s="42" t="s">
        <v>825</v>
      </c>
      <c r="B259" s="42" t="s">
        <v>826</v>
      </c>
      <c r="C259" s="42" t="s">
        <v>328</v>
      </c>
      <c r="D259" s="4"/>
    </row>
    <row r="260" spans="1:5" x14ac:dyDescent="0.25">
      <c r="A260" s="42" t="s">
        <v>827</v>
      </c>
      <c r="B260" s="42" t="s">
        <v>827</v>
      </c>
      <c r="C260" s="42" t="s">
        <v>328</v>
      </c>
      <c r="D260" s="4"/>
    </row>
    <row r="261" spans="1:5" x14ac:dyDescent="0.25">
      <c r="A261" s="42" t="s">
        <v>828</v>
      </c>
      <c r="B261" s="42" t="s">
        <v>828</v>
      </c>
      <c r="C261" s="42" t="s">
        <v>332</v>
      </c>
      <c r="D261" s="4"/>
    </row>
    <row r="262" spans="1:5" x14ac:dyDescent="0.25">
      <c r="A262" s="42" t="s">
        <v>829</v>
      </c>
      <c r="B262" s="42" t="s">
        <v>830</v>
      </c>
      <c r="C262" s="42" t="s">
        <v>328</v>
      </c>
      <c r="D262" s="4"/>
      <c r="E262">
        <v>1</v>
      </c>
    </row>
    <row r="263" spans="1:5" x14ac:dyDescent="0.25">
      <c r="A263" s="42" t="s">
        <v>831</v>
      </c>
      <c r="B263" s="42"/>
      <c r="C263" s="42" t="s">
        <v>328</v>
      </c>
      <c r="D263" s="4"/>
    </row>
    <row r="264" spans="1:5" x14ac:dyDescent="0.25">
      <c r="A264" s="42" t="s">
        <v>832</v>
      </c>
      <c r="B264" s="42" t="s">
        <v>832</v>
      </c>
      <c r="C264" s="42" t="s">
        <v>332</v>
      </c>
      <c r="D264" s="4"/>
    </row>
    <row r="265" spans="1:5" x14ac:dyDescent="0.25">
      <c r="A265" s="42" t="s">
        <v>833</v>
      </c>
      <c r="B265" s="42" t="s">
        <v>833</v>
      </c>
      <c r="C265" s="42" t="s">
        <v>332</v>
      </c>
      <c r="D265" s="4"/>
    </row>
    <row r="266" spans="1:5" x14ac:dyDescent="0.25">
      <c r="A266" s="42" t="s">
        <v>834</v>
      </c>
      <c r="B266" s="42" t="s">
        <v>835</v>
      </c>
      <c r="C266" s="42" t="s">
        <v>836</v>
      </c>
      <c r="D266" s="4"/>
    </row>
    <row r="267" spans="1:5" x14ac:dyDescent="0.25">
      <c r="A267" s="42" t="s">
        <v>837</v>
      </c>
      <c r="B267" s="42" t="s">
        <v>838</v>
      </c>
      <c r="C267" s="42"/>
      <c r="D267" s="4"/>
      <c r="E267">
        <v>5</v>
      </c>
    </row>
    <row r="268" spans="1:5" x14ac:dyDescent="0.25">
      <c r="A268" s="42" t="s">
        <v>839</v>
      </c>
      <c r="B268" s="42" t="s">
        <v>840</v>
      </c>
      <c r="C268" s="42" t="s">
        <v>495</v>
      </c>
      <c r="D268" s="4"/>
      <c r="E268">
        <v>1</v>
      </c>
    </row>
    <row r="269" spans="1:5" x14ac:dyDescent="0.25">
      <c r="A269" s="42" t="s">
        <v>841</v>
      </c>
      <c r="B269" s="42" t="s">
        <v>842</v>
      </c>
      <c r="C269" s="42" t="s">
        <v>634</v>
      </c>
      <c r="D269" s="4"/>
    </row>
    <row r="270" spans="1:5" x14ac:dyDescent="0.25">
      <c r="A270" s="42" t="s">
        <v>843</v>
      </c>
      <c r="B270" s="42" t="s">
        <v>843</v>
      </c>
      <c r="C270" s="42" t="s">
        <v>351</v>
      </c>
      <c r="D270" s="4"/>
    </row>
    <row r="271" spans="1:5" x14ac:dyDescent="0.25">
      <c r="A271" s="42" t="s">
        <v>844</v>
      </c>
      <c r="B271" s="42" t="s">
        <v>845</v>
      </c>
      <c r="C271" s="42" t="s">
        <v>846</v>
      </c>
      <c r="D271" s="4"/>
    </row>
    <row r="272" spans="1:5" x14ac:dyDescent="0.25">
      <c r="A272" s="42" t="s">
        <v>847</v>
      </c>
      <c r="B272" s="42" t="s">
        <v>847</v>
      </c>
      <c r="C272" s="42" t="s">
        <v>393</v>
      </c>
      <c r="D272" s="4"/>
    </row>
    <row r="273" spans="1:5" x14ac:dyDescent="0.25">
      <c r="A273" s="42" t="s">
        <v>848</v>
      </c>
      <c r="B273" s="42" t="s">
        <v>848</v>
      </c>
      <c r="C273" s="42" t="s">
        <v>393</v>
      </c>
      <c r="D273" s="4"/>
    </row>
    <row r="274" spans="1:5" x14ac:dyDescent="0.25">
      <c r="A274" s="42" t="s">
        <v>849</v>
      </c>
      <c r="B274" s="42" t="s">
        <v>849</v>
      </c>
      <c r="C274" s="42"/>
      <c r="D274" s="4"/>
      <c r="E274">
        <v>10</v>
      </c>
    </row>
    <row r="275" spans="1:5" x14ac:dyDescent="0.25">
      <c r="A275" s="42" t="s">
        <v>850</v>
      </c>
      <c r="B275" s="42" t="s">
        <v>851</v>
      </c>
      <c r="C275" s="42" t="s">
        <v>852</v>
      </c>
      <c r="D275" s="4"/>
    </row>
    <row r="276" spans="1:5" x14ac:dyDescent="0.25">
      <c r="A276" s="42" t="s">
        <v>853</v>
      </c>
      <c r="B276" s="42" t="s">
        <v>854</v>
      </c>
      <c r="C276" s="42" t="s">
        <v>520</v>
      </c>
      <c r="D276" s="4"/>
    </row>
    <row r="277" spans="1:5" x14ac:dyDescent="0.25">
      <c r="A277" s="42" t="s">
        <v>855</v>
      </c>
      <c r="B277" s="42" t="s">
        <v>856</v>
      </c>
      <c r="C277" s="42" t="s">
        <v>857</v>
      </c>
      <c r="D277" s="4"/>
    </row>
    <row r="278" spans="1:5" x14ac:dyDescent="0.25">
      <c r="A278" s="42" t="s">
        <v>858</v>
      </c>
      <c r="B278" s="42" t="s">
        <v>859</v>
      </c>
      <c r="C278" s="42" t="s">
        <v>72</v>
      </c>
      <c r="D278" s="4"/>
    </row>
    <row r="279" spans="1:5" x14ac:dyDescent="0.25">
      <c r="A279" s="42" t="s">
        <v>860</v>
      </c>
      <c r="B279" s="42" t="s">
        <v>860</v>
      </c>
      <c r="C279" s="42" t="s">
        <v>362</v>
      </c>
      <c r="D279" s="4"/>
      <c r="E279">
        <v>1</v>
      </c>
    </row>
    <row r="280" spans="1:5" x14ac:dyDescent="0.25">
      <c r="A280" s="42" t="s">
        <v>861</v>
      </c>
      <c r="B280" s="42" t="s">
        <v>862</v>
      </c>
      <c r="C280" s="42" t="s">
        <v>332</v>
      </c>
      <c r="D280" s="4"/>
      <c r="E280">
        <v>1</v>
      </c>
    </row>
    <row r="281" spans="1:5" x14ac:dyDescent="0.25">
      <c r="A281" s="42" t="s">
        <v>863</v>
      </c>
      <c r="B281" s="42" t="s">
        <v>864</v>
      </c>
      <c r="C281" s="42" t="s">
        <v>332</v>
      </c>
      <c r="D281" s="4"/>
    </row>
    <row r="282" spans="1:5" x14ac:dyDescent="0.25">
      <c r="A282" s="42" t="s">
        <v>865</v>
      </c>
      <c r="B282" s="42" t="s">
        <v>866</v>
      </c>
      <c r="C282" s="42" t="s">
        <v>328</v>
      </c>
      <c r="D282" s="4"/>
    </row>
    <row r="283" spans="1:5" x14ac:dyDescent="0.25">
      <c r="A283" s="42" t="s">
        <v>867</v>
      </c>
      <c r="B283" s="42" t="s">
        <v>867</v>
      </c>
      <c r="C283" s="42"/>
      <c r="D283" s="4"/>
      <c r="E283">
        <v>100</v>
      </c>
    </row>
    <row r="284" spans="1:5" x14ac:dyDescent="0.25">
      <c r="A284" s="42" t="s">
        <v>868</v>
      </c>
      <c r="B284" s="42" t="s">
        <v>869</v>
      </c>
      <c r="C284" s="42" t="s">
        <v>453</v>
      </c>
      <c r="D284" s="4"/>
    </row>
    <row r="285" spans="1:5" x14ac:dyDescent="0.25">
      <c r="A285" s="42" t="s">
        <v>870</v>
      </c>
      <c r="B285" s="42" t="s">
        <v>871</v>
      </c>
      <c r="C285" s="42" t="s">
        <v>365</v>
      </c>
      <c r="D285" s="4"/>
    </row>
    <row r="286" spans="1:5" x14ac:dyDescent="0.25">
      <c r="A286" s="42" t="s">
        <v>872</v>
      </c>
      <c r="B286" s="42" t="s">
        <v>873</v>
      </c>
      <c r="C286" s="42" t="s">
        <v>636</v>
      </c>
      <c r="D286" s="4"/>
    </row>
    <row r="287" spans="1:5" x14ac:dyDescent="0.25">
      <c r="A287" s="42" t="s">
        <v>874</v>
      </c>
      <c r="B287" s="42" t="s">
        <v>875</v>
      </c>
      <c r="C287" s="42" t="s">
        <v>453</v>
      </c>
      <c r="D287" s="4"/>
    </row>
    <row r="288" spans="1:5" x14ac:dyDescent="0.25">
      <c r="A288" s="42" t="s">
        <v>876</v>
      </c>
      <c r="B288" s="42" t="s">
        <v>877</v>
      </c>
      <c r="C288" s="42" t="s">
        <v>72</v>
      </c>
      <c r="D288" s="4"/>
    </row>
    <row r="289" spans="1:5" x14ac:dyDescent="0.25">
      <c r="A289" s="42" t="s">
        <v>878</v>
      </c>
      <c r="B289" s="42" t="s">
        <v>878</v>
      </c>
      <c r="C289" s="42" t="s">
        <v>367</v>
      </c>
      <c r="D289" s="4"/>
    </row>
    <row r="290" spans="1:5" x14ac:dyDescent="0.25">
      <c r="A290" s="42" t="s">
        <v>879</v>
      </c>
      <c r="B290" s="42" t="s">
        <v>879</v>
      </c>
      <c r="C290" s="42" t="s">
        <v>880</v>
      </c>
      <c r="D290" s="4"/>
    </row>
    <row r="291" spans="1:5" x14ac:dyDescent="0.25">
      <c r="A291" s="42" t="s">
        <v>881</v>
      </c>
      <c r="B291" s="42" t="s">
        <v>881</v>
      </c>
      <c r="C291" s="42" t="s">
        <v>882</v>
      </c>
      <c r="D291" s="4"/>
    </row>
    <row r="292" spans="1:5" x14ac:dyDescent="0.25">
      <c r="A292" s="42" t="s">
        <v>883</v>
      </c>
      <c r="B292" s="42" t="s">
        <v>883</v>
      </c>
      <c r="C292" s="42" t="s">
        <v>884</v>
      </c>
      <c r="D292" s="4"/>
    </row>
    <row r="293" spans="1:5" x14ac:dyDescent="0.25">
      <c r="A293" s="42" t="s">
        <v>885</v>
      </c>
      <c r="B293" s="42" t="s">
        <v>885</v>
      </c>
      <c r="C293" s="42" t="s">
        <v>886</v>
      </c>
      <c r="D293" s="4"/>
    </row>
    <row r="294" spans="1:5" x14ac:dyDescent="0.25">
      <c r="A294" s="42" t="s">
        <v>887</v>
      </c>
      <c r="B294" s="42" t="s">
        <v>888</v>
      </c>
      <c r="C294" s="42"/>
      <c r="D294" s="4"/>
      <c r="E294">
        <v>6</v>
      </c>
    </row>
    <row r="295" spans="1:5" x14ac:dyDescent="0.25">
      <c r="A295" s="42" t="s">
        <v>889</v>
      </c>
      <c r="B295" s="42" t="s">
        <v>890</v>
      </c>
      <c r="C295" s="42"/>
      <c r="D295" s="4"/>
      <c r="E295">
        <v>24</v>
      </c>
    </row>
    <row r="296" spans="1:5" x14ac:dyDescent="0.25">
      <c r="A296" s="42" t="s">
        <v>891</v>
      </c>
      <c r="B296" s="42" t="s">
        <v>892</v>
      </c>
      <c r="C296" s="42" t="s">
        <v>893</v>
      </c>
      <c r="D296" s="4"/>
    </row>
    <row r="297" spans="1:5" x14ac:dyDescent="0.25">
      <c r="A297" s="42" t="s">
        <v>894</v>
      </c>
      <c r="B297" s="42" t="s">
        <v>895</v>
      </c>
      <c r="C297" s="42" t="s">
        <v>896</v>
      </c>
      <c r="D297" s="4"/>
    </row>
    <row r="298" spans="1:5" x14ac:dyDescent="0.25">
      <c r="A298" s="42" t="s">
        <v>897</v>
      </c>
      <c r="B298" s="42" t="s">
        <v>898</v>
      </c>
      <c r="C298" s="42" t="s">
        <v>634</v>
      </c>
      <c r="D298" s="4"/>
    </row>
    <row r="299" spans="1:5" x14ac:dyDescent="0.25">
      <c r="A299" s="42" t="s">
        <v>899</v>
      </c>
      <c r="B299" s="42" t="s">
        <v>900</v>
      </c>
      <c r="C299" s="42" t="s">
        <v>72</v>
      </c>
      <c r="D299" s="4"/>
      <c r="E299">
        <v>30</v>
      </c>
    </row>
    <row r="300" spans="1:5" x14ac:dyDescent="0.25">
      <c r="A300" s="42" t="s">
        <v>901</v>
      </c>
      <c r="B300" s="42" t="s">
        <v>901</v>
      </c>
      <c r="C300" s="42" t="s">
        <v>902</v>
      </c>
      <c r="D300" s="4"/>
    </row>
    <row r="301" spans="1:5" x14ac:dyDescent="0.25">
      <c r="A301" s="42" t="s">
        <v>903</v>
      </c>
      <c r="B301" s="42" t="s">
        <v>904</v>
      </c>
      <c r="C301" s="42" t="s">
        <v>902</v>
      </c>
      <c r="D301" s="4"/>
    </row>
    <row r="302" spans="1:5" x14ac:dyDescent="0.25">
      <c r="A302" s="42" t="s">
        <v>905</v>
      </c>
      <c r="B302" s="42" t="s">
        <v>905</v>
      </c>
      <c r="C302" s="42" t="s">
        <v>495</v>
      </c>
      <c r="D302" s="4"/>
    </row>
    <row r="303" spans="1:5" x14ac:dyDescent="0.25">
      <c r="A303" s="42" t="s">
        <v>906</v>
      </c>
      <c r="B303" s="42" t="s">
        <v>906</v>
      </c>
      <c r="C303" s="42" t="s">
        <v>332</v>
      </c>
      <c r="D303" s="4"/>
    </row>
    <row r="304" spans="1:5" x14ac:dyDescent="0.25">
      <c r="A304" s="42" t="s">
        <v>907</v>
      </c>
      <c r="B304" s="42" t="s">
        <v>907</v>
      </c>
      <c r="C304" s="42" t="s">
        <v>367</v>
      </c>
      <c r="D304" s="4"/>
    </row>
    <row r="305" spans="1:5" x14ac:dyDescent="0.25">
      <c r="A305" s="42" t="s">
        <v>908</v>
      </c>
      <c r="B305" s="42" t="s">
        <v>908</v>
      </c>
      <c r="C305" s="42" t="s">
        <v>332</v>
      </c>
      <c r="D305" s="4"/>
      <c r="E305">
        <v>1</v>
      </c>
    </row>
    <row r="306" spans="1:5" x14ac:dyDescent="0.25">
      <c r="A306" s="42" t="s">
        <v>909</v>
      </c>
      <c r="B306" s="42" t="s">
        <v>909</v>
      </c>
      <c r="C306" s="42" t="s">
        <v>910</v>
      </c>
      <c r="D306" s="4"/>
    </row>
    <row r="307" spans="1:5" x14ac:dyDescent="0.25">
      <c r="A307" s="42" t="s">
        <v>911</v>
      </c>
      <c r="B307" s="42" t="s">
        <v>912</v>
      </c>
      <c r="C307" s="42" t="s">
        <v>72</v>
      </c>
      <c r="D307" s="4"/>
    </row>
    <row r="308" spans="1:5" x14ac:dyDescent="0.25">
      <c r="A308" s="42" t="s">
        <v>913</v>
      </c>
      <c r="B308" s="42"/>
      <c r="C308" s="42" t="s">
        <v>351</v>
      </c>
      <c r="D308" s="4"/>
    </row>
    <row r="309" spans="1:5" x14ac:dyDescent="0.25">
      <c r="A309" s="42" t="s">
        <v>914</v>
      </c>
      <c r="B309" s="42" t="s">
        <v>914</v>
      </c>
      <c r="C309" s="42" t="s">
        <v>915</v>
      </c>
      <c r="D309" s="4"/>
    </row>
    <row r="310" spans="1:5" x14ac:dyDescent="0.25">
      <c r="A310" s="42" t="s">
        <v>916</v>
      </c>
      <c r="B310" s="42" t="s">
        <v>917</v>
      </c>
      <c r="C310" s="42" t="s">
        <v>918</v>
      </c>
      <c r="D310" s="4"/>
    </row>
    <row r="311" spans="1:5" x14ac:dyDescent="0.25">
      <c r="A311" s="42" t="s">
        <v>919</v>
      </c>
      <c r="B311" s="42" t="s">
        <v>919</v>
      </c>
      <c r="C311" s="42" t="s">
        <v>920</v>
      </c>
      <c r="D311" s="4"/>
    </row>
    <row r="312" spans="1:5" x14ac:dyDescent="0.25">
      <c r="A312" s="42" t="s">
        <v>921</v>
      </c>
      <c r="B312" s="42" t="s">
        <v>921</v>
      </c>
      <c r="C312" s="42" t="s">
        <v>922</v>
      </c>
      <c r="D312" s="4"/>
    </row>
    <row r="313" spans="1:5" x14ac:dyDescent="0.25">
      <c r="A313" s="42" t="s">
        <v>923</v>
      </c>
      <c r="B313" s="42" t="s">
        <v>923</v>
      </c>
      <c r="C313" s="42" t="s">
        <v>72</v>
      </c>
      <c r="D313" s="4"/>
    </row>
    <row r="314" spans="1:5" x14ac:dyDescent="0.25">
      <c r="A314" s="42" t="s">
        <v>924</v>
      </c>
      <c r="B314" s="42" t="s">
        <v>924</v>
      </c>
      <c r="C314" s="42" t="s">
        <v>925</v>
      </c>
      <c r="D314" s="4"/>
    </row>
    <row r="315" spans="1:5" x14ac:dyDescent="0.25">
      <c r="A315" s="42" t="s">
        <v>926</v>
      </c>
      <c r="B315" s="42" t="s">
        <v>927</v>
      </c>
      <c r="C315" s="42" t="s">
        <v>928</v>
      </c>
      <c r="D315" s="4"/>
    </row>
    <row r="316" spans="1:5" x14ac:dyDescent="0.25">
      <c r="A316" s="42" t="s">
        <v>929</v>
      </c>
      <c r="B316" s="42" t="s">
        <v>930</v>
      </c>
      <c r="C316" s="42"/>
      <c r="D316" s="4"/>
      <c r="E316">
        <v>1000</v>
      </c>
    </row>
    <row r="317" spans="1:5" x14ac:dyDescent="0.25">
      <c r="A317" s="42" t="s">
        <v>931</v>
      </c>
      <c r="B317" s="42" t="s">
        <v>931</v>
      </c>
      <c r="C317" s="42" t="s">
        <v>72</v>
      </c>
      <c r="D317" s="4"/>
    </row>
    <row r="318" spans="1:5" x14ac:dyDescent="0.25">
      <c r="A318" s="42" t="s">
        <v>932</v>
      </c>
      <c r="B318" s="42" t="s">
        <v>933</v>
      </c>
      <c r="C318" s="42"/>
      <c r="D318" s="4"/>
      <c r="E318">
        <v>6</v>
      </c>
    </row>
    <row r="319" spans="1:5" x14ac:dyDescent="0.25">
      <c r="A319" s="42" t="s">
        <v>934</v>
      </c>
      <c r="B319" s="42" t="s">
        <v>935</v>
      </c>
      <c r="C319" s="42" t="s">
        <v>936</v>
      </c>
      <c r="D319" s="4"/>
    </row>
    <row r="320" spans="1:5" x14ac:dyDescent="0.25">
      <c r="A320" s="42" t="s">
        <v>937</v>
      </c>
      <c r="B320" s="42"/>
      <c r="C320" s="42" t="s">
        <v>351</v>
      </c>
      <c r="D320" s="4"/>
    </row>
    <row r="321" spans="1:5" x14ac:dyDescent="0.25">
      <c r="A321" s="42" t="s">
        <v>938</v>
      </c>
      <c r="B321" s="42" t="s">
        <v>939</v>
      </c>
      <c r="C321" s="42" t="s">
        <v>332</v>
      </c>
      <c r="D321" s="4"/>
      <c r="E321">
        <v>1</v>
      </c>
    </row>
    <row r="322" spans="1:5" x14ac:dyDescent="0.25">
      <c r="A322" s="42" t="s">
        <v>940</v>
      </c>
      <c r="B322" s="42" t="s">
        <v>941</v>
      </c>
      <c r="C322" s="42" t="s">
        <v>332</v>
      </c>
      <c r="D322" s="4"/>
      <c r="E322">
        <v>1</v>
      </c>
    </row>
    <row r="323" spans="1:5" x14ac:dyDescent="0.25">
      <c r="A323" s="42" t="s">
        <v>942</v>
      </c>
      <c r="B323" s="42" t="s">
        <v>942</v>
      </c>
      <c r="C323" s="42" t="s">
        <v>943</v>
      </c>
      <c r="D323" s="4"/>
    </row>
    <row r="324" spans="1:5" x14ac:dyDescent="0.25">
      <c r="A324" s="42" t="s">
        <v>944</v>
      </c>
      <c r="B324" s="42" t="s">
        <v>945</v>
      </c>
      <c r="C324" s="42" t="s">
        <v>332</v>
      </c>
      <c r="D324" s="4"/>
      <c r="E324">
        <v>1</v>
      </c>
    </row>
    <row r="325" spans="1:5" x14ac:dyDescent="0.25">
      <c r="A325" s="42" t="s">
        <v>946</v>
      </c>
      <c r="B325" s="42" t="s">
        <v>946</v>
      </c>
      <c r="C325" s="42" t="s">
        <v>328</v>
      </c>
      <c r="D325" s="4"/>
    </row>
    <row r="326" spans="1:5" x14ac:dyDescent="0.25">
      <c r="A326" s="42" t="s">
        <v>947</v>
      </c>
      <c r="B326" s="42" t="s">
        <v>948</v>
      </c>
      <c r="C326" s="42" t="s">
        <v>393</v>
      </c>
      <c r="D326" s="4"/>
    </row>
    <row r="327" spans="1:5" x14ac:dyDescent="0.25">
      <c r="A327" s="42" t="s">
        <v>949</v>
      </c>
      <c r="B327" s="42" t="s">
        <v>949</v>
      </c>
      <c r="C327" s="42" t="s">
        <v>328</v>
      </c>
      <c r="D327" s="4"/>
    </row>
    <row r="328" spans="1:5" x14ac:dyDescent="0.25">
      <c r="A328" s="42" t="s">
        <v>950</v>
      </c>
      <c r="B328" s="42" t="s">
        <v>950</v>
      </c>
      <c r="C328" s="42" t="s">
        <v>332</v>
      </c>
      <c r="D328" s="4"/>
    </row>
    <row r="329" spans="1:5" x14ac:dyDescent="0.25">
      <c r="A329" s="42" t="s">
        <v>951</v>
      </c>
      <c r="B329" s="42" t="s">
        <v>951</v>
      </c>
      <c r="C329" s="42" t="s">
        <v>328</v>
      </c>
      <c r="D329" s="4"/>
    </row>
    <row r="330" spans="1:5" x14ac:dyDescent="0.25">
      <c r="A330" s="42" t="s">
        <v>952</v>
      </c>
      <c r="B330" s="42" t="s">
        <v>953</v>
      </c>
      <c r="C330" s="42" t="s">
        <v>328</v>
      </c>
      <c r="D330" s="4"/>
    </row>
    <row r="331" spans="1:5" x14ac:dyDescent="0.25">
      <c r="A331" s="42" t="s">
        <v>954</v>
      </c>
      <c r="B331" s="42" t="s">
        <v>954</v>
      </c>
      <c r="C331" s="42" t="s">
        <v>332</v>
      </c>
      <c r="D331" s="4"/>
    </row>
    <row r="332" spans="1:5" x14ac:dyDescent="0.25">
      <c r="A332" s="42" t="s">
        <v>955</v>
      </c>
      <c r="B332" s="42" t="s">
        <v>955</v>
      </c>
      <c r="C332" s="42" t="s">
        <v>956</v>
      </c>
      <c r="D332" s="4"/>
      <c r="E332">
        <v>1</v>
      </c>
    </row>
    <row r="333" spans="1:5" x14ac:dyDescent="0.25">
      <c r="A333" s="42" t="s">
        <v>957</v>
      </c>
      <c r="B333" s="42" t="s">
        <v>957</v>
      </c>
      <c r="C333" s="42" t="s">
        <v>958</v>
      </c>
      <c r="D333" s="4"/>
    </row>
    <row r="334" spans="1:5" x14ac:dyDescent="0.25">
      <c r="A334" s="42" t="s">
        <v>959</v>
      </c>
      <c r="B334" s="42" t="s">
        <v>960</v>
      </c>
      <c r="C334" s="42" t="s">
        <v>961</v>
      </c>
      <c r="D334" s="4"/>
    </row>
    <row r="335" spans="1:5" x14ac:dyDescent="0.25">
      <c r="A335" s="42" t="s">
        <v>962</v>
      </c>
      <c r="B335" s="42" t="s">
        <v>963</v>
      </c>
      <c r="C335" s="42" t="s">
        <v>964</v>
      </c>
      <c r="D335" s="4"/>
    </row>
    <row r="336" spans="1:5" x14ac:dyDescent="0.25">
      <c r="A336" s="42" t="s">
        <v>965</v>
      </c>
      <c r="B336" s="42" t="s">
        <v>965</v>
      </c>
      <c r="C336" s="42" t="s">
        <v>966</v>
      </c>
      <c r="D336" s="4"/>
    </row>
    <row r="337" spans="1:5" x14ac:dyDescent="0.25">
      <c r="A337" s="42" t="s">
        <v>967</v>
      </c>
      <c r="B337" s="42" t="s">
        <v>968</v>
      </c>
      <c r="C337" s="42" t="s">
        <v>328</v>
      </c>
      <c r="D337" s="4"/>
    </row>
    <row r="338" spans="1:5" x14ac:dyDescent="0.25">
      <c r="A338" s="42" t="s">
        <v>969</v>
      </c>
      <c r="B338" s="42" t="s">
        <v>969</v>
      </c>
      <c r="C338" s="42" t="s">
        <v>332</v>
      </c>
      <c r="D338" s="4"/>
      <c r="E338">
        <v>1</v>
      </c>
    </row>
    <row r="339" spans="1:5" x14ac:dyDescent="0.25">
      <c r="A339" s="42" t="s">
        <v>970</v>
      </c>
      <c r="B339" s="42" t="s">
        <v>970</v>
      </c>
      <c r="C339" s="42" t="s">
        <v>971</v>
      </c>
      <c r="D339" s="4"/>
    </row>
    <row r="340" spans="1:5" x14ac:dyDescent="0.25">
      <c r="A340" s="42" t="s">
        <v>972</v>
      </c>
      <c r="B340" s="42" t="s">
        <v>972</v>
      </c>
      <c r="C340" s="42" t="s">
        <v>367</v>
      </c>
      <c r="D340" s="4"/>
    </row>
    <row r="341" spans="1:5" x14ac:dyDescent="0.25">
      <c r="A341" s="42" t="s">
        <v>973</v>
      </c>
      <c r="B341" s="42" t="s">
        <v>974</v>
      </c>
      <c r="C341" s="42"/>
      <c r="D341" s="4"/>
    </row>
    <row r="342" spans="1:5" x14ac:dyDescent="0.25">
      <c r="A342" s="42" t="s">
        <v>975</v>
      </c>
      <c r="B342" s="42" t="s">
        <v>976</v>
      </c>
      <c r="C342" s="42"/>
      <c r="D342" s="4"/>
    </row>
    <row r="343" spans="1:5" x14ac:dyDescent="0.25">
      <c r="A343" s="42" t="s">
        <v>977</v>
      </c>
      <c r="B343" s="42" t="s">
        <v>978</v>
      </c>
      <c r="C343" s="42"/>
      <c r="D343" s="4"/>
      <c r="E343">
        <v>0</v>
      </c>
    </row>
    <row r="344" spans="1:5" x14ac:dyDescent="0.25">
      <c r="A344" s="42" t="s">
        <v>979</v>
      </c>
      <c r="B344" s="42" t="s">
        <v>980</v>
      </c>
      <c r="C344" s="42"/>
      <c r="D344" s="4"/>
      <c r="E344">
        <v>0</v>
      </c>
    </row>
    <row r="345" spans="1:5" x14ac:dyDescent="0.25">
      <c r="A345" s="42" t="s">
        <v>981</v>
      </c>
      <c r="B345" s="42" t="s">
        <v>982</v>
      </c>
      <c r="C345" s="42" t="s">
        <v>983</v>
      </c>
      <c r="D345" s="4"/>
      <c r="E345">
        <v>1</v>
      </c>
    </row>
    <row r="346" spans="1:5" x14ac:dyDescent="0.25">
      <c r="A346" s="42" t="s">
        <v>984</v>
      </c>
      <c r="B346" s="42" t="s">
        <v>985</v>
      </c>
      <c r="C346" s="42" t="s">
        <v>986</v>
      </c>
      <c r="D346" s="4"/>
    </row>
    <row r="347" spans="1:5" x14ac:dyDescent="0.25">
      <c r="A347" s="42" t="s">
        <v>987</v>
      </c>
      <c r="B347" s="42" t="s">
        <v>988</v>
      </c>
      <c r="C347" s="42" t="s">
        <v>989</v>
      </c>
      <c r="D347" s="4"/>
    </row>
    <row r="348" spans="1:5" x14ac:dyDescent="0.25">
      <c r="A348" s="42" t="s">
        <v>990</v>
      </c>
      <c r="B348" s="42" t="s">
        <v>991</v>
      </c>
      <c r="C348" s="42" t="s">
        <v>992</v>
      </c>
      <c r="D348" s="4"/>
    </row>
    <row r="349" spans="1:5" x14ac:dyDescent="0.25">
      <c r="A349" s="42" t="s">
        <v>993</v>
      </c>
      <c r="B349" s="42" t="s">
        <v>994</v>
      </c>
      <c r="C349" s="42"/>
      <c r="D349" s="4"/>
      <c r="E349">
        <v>100</v>
      </c>
    </row>
    <row r="350" spans="1:5" x14ac:dyDescent="0.25">
      <c r="A350" s="42" t="s">
        <v>995</v>
      </c>
      <c r="B350" s="42" t="s">
        <v>996</v>
      </c>
      <c r="C350" s="42" t="s">
        <v>997</v>
      </c>
      <c r="D350" s="4"/>
    </row>
    <row r="351" spans="1:5" x14ac:dyDescent="0.25">
      <c r="A351" s="42" t="s">
        <v>998</v>
      </c>
      <c r="B351" s="42" t="s">
        <v>999</v>
      </c>
      <c r="C351" s="42" t="s">
        <v>1000</v>
      </c>
      <c r="D351" s="4"/>
    </row>
    <row r="352" spans="1:5" x14ac:dyDescent="0.25">
      <c r="A352" s="42" t="s">
        <v>1001</v>
      </c>
      <c r="B352" s="42" t="s">
        <v>1001</v>
      </c>
      <c r="C352" s="42" t="s">
        <v>1002</v>
      </c>
      <c r="D352" s="4"/>
    </row>
    <row r="353" spans="1:5" x14ac:dyDescent="0.25">
      <c r="A353" s="42" t="s">
        <v>1003</v>
      </c>
      <c r="B353" s="42" t="s">
        <v>1004</v>
      </c>
      <c r="C353" s="42" t="s">
        <v>328</v>
      </c>
      <c r="D353" s="4"/>
    </row>
    <row r="354" spans="1:5" x14ac:dyDescent="0.25">
      <c r="A354" s="42" t="s">
        <v>1005</v>
      </c>
      <c r="B354" s="42" t="s">
        <v>1005</v>
      </c>
      <c r="C354" s="42" t="s">
        <v>332</v>
      </c>
      <c r="D354" s="4"/>
    </row>
    <row r="355" spans="1:5" x14ac:dyDescent="0.25">
      <c r="A355" s="42" t="s">
        <v>1006</v>
      </c>
      <c r="B355" s="42" t="s">
        <v>1007</v>
      </c>
      <c r="C355" s="42" t="s">
        <v>351</v>
      </c>
      <c r="D355" s="4"/>
      <c r="E355">
        <v>1</v>
      </c>
    </row>
    <row r="356" spans="1:5" x14ac:dyDescent="0.25">
      <c r="A356" s="42" t="s">
        <v>1008</v>
      </c>
      <c r="B356" s="42" t="s">
        <v>1009</v>
      </c>
      <c r="C356" s="42" t="s">
        <v>332</v>
      </c>
      <c r="D356" s="4"/>
    </row>
    <row r="357" spans="1:5" x14ac:dyDescent="0.25">
      <c r="A357" s="42" t="s">
        <v>1010</v>
      </c>
      <c r="B357" s="42" t="s">
        <v>1010</v>
      </c>
      <c r="C357" s="42" t="s">
        <v>1011</v>
      </c>
      <c r="D357" s="4"/>
    </row>
    <row r="358" spans="1:5" x14ac:dyDescent="0.25">
      <c r="A358" s="42" t="s">
        <v>1012</v>
      </c>
      <c r="B358" s="42" t="s">
        <v>1012</v>
      </c>
      <c r="C358" s="42" t="s">
        <v>1013</v>
      </c>
      <c r="D358" s="4"/>
    </row>
    <row r="359" spans="1:5" x14ac:dyDescent="0.25">
      <c r="A359" s="42" t="s">
        <v>1014</v>
      </c>
      <c r="B359" s="42" t="s">
        <v>1014</v>
      </c>
      <c r="C359" s="42" t="s">
        <v>1015</v>
      </c>
      <c r="D359" s="4"/>
    </row>
    <row r="360" spans="1:5" x14ac:dyDescent="0.25">
      <c r="A360" s="42" t="s">
        <v>1016</v>
      </c>
      <c r="B360" s="42" t="s">
        <v>1017</v>
      </c>
      <c r="C360" s="42" t="s">
        <v>328</v>
      </c>
      <c r="D360" s="4"/>
    </row>
    <row r="361" spans="1:5" x14ac:dyDescent="0.25">
      <c r="A361" s="42" t="s">
        <v>1018</v>
      </c>
      <c r="B361" s="42" t="s">
        <v>1018</v>
      </c>
      <c r="C361" s="42" t="s">
        <v>73</v>
      </c>
      <c r="D361" s="4"/>
    </row>
    <row r="362" spans="1:5" x14ac:dyDescent="0.25">
      <c r="A362" s="42" t="s">
        <v>1019</v>
      </c>
      <c r="B362" s="42" t="s">
        <v>1020</v>
      </c>
      <c r="C362" s="42" t="s">
        <v>1021</v>
      </c>
      <c r="D362" s="4"/>
    </row>
    <row r="363" spans="1:5" x14ac:dyDescent="0.25">
      <c r="A363" s="42" t="s">
        <v>1022</v>
      </c>
      <c r="B363" s="42" t="s">
        <v>1023</v>
      </c>
      <c r="C363" s="42" t="s">
        <v>328</v>
      </c>
      <c r="D363" s="4"/>
    </row>
    <row r="364" spans="1:5" x14ac:dyDescent="0.25">
      <c r="A364" s="42" t="s">
        <v>1024</v>
      </c>
      <c r="B364" s="42" t="s">
        <v>1025</v>
      </c>
      <c r="C364" s="42" t="s">
        <v>902</v>
      </c>
      <c r="D364" s="4"/>
      <c r="E364">
        <v>1</v>
      </c>
    </row>
    <row r="365" spans="1:5" x14ac:dyDescent="0.25">
      <c r="A365" s="42" t="s">
        <v>1026</v>
      </c>
      <c r="B365" s="42" t="s">
        <v>1026</v>
      </c>
      <c r="C365" s="42" t="s">
        <v>328</v>
      </c>
      <c r="D365" s="4"/>
      <c r="E365">
        <v>1</v>
      </c>
    </row>
    <row r="366" spans="1:5" x14ac:dyDescent="0.25">
      <c r="A366" s="42" t="s">
        <v>1027</v>
      </c>
      <c r="B366" s="42" t="s">
        <v>1028</v>
      </c>
      <c r="C366" s="42" t="s">
        <v>72</v>
      </c>
      <c r="D366" s="4"/>
    </row>
    <row r="367" spans="1:5" x14ac:dyDescent="0.25">
      <c r="A367" s="42" t="s">
        <v>1029</v>
      </c>
      <c r="B367" s="42" t="s">
        <v>1030</v>
      </c>
      <c r="C367" s="42" t="s">
        <v>72</v>
      </c>
      <c r="D367" s="4"/>
    </row>
    <row r="368" spans="1:5" x14ac:dyDescent="0.25">
      <c r="A368" s="42" t="s">
        <v>1031</v>
      </c>
      <c r="B368" s="42" t="s">
        <v>1032</v>
      </c>
      <c r="C368" s="42" t="s">
        <v>362</v>
      </c>
      <c r="D368" s="4"/>
    </row>
    <row r="369" spans="1:5" x14ac:dyDescent="0.25">
      <c r="A369" s="42" t="s">
        <v>1033</v>
      </c>
      <c r="B369" s="42" t="s">
        <v>1034</v>
      </c>
      <c r="C369" s="42" t="s">
        <v>73</v>
      </c>
      <c r="D369" s="4"/>
      <c r="E369">
        <v>1</v>
      </c>
    </row>
    <row r="370" spans="1:5" x14ac:dyDescent="0.25">
      <c r="A370" s="42" t="s">
        <v>1035</v>
      </c>
      <c r="B370" s="42" t="s">
        <v>1034</v>
      </c>
      <c r="C370" s="42" t="s">
        <v>73</v>
      </c>
      <c r="D370" s="4"/>
    </row>
    <row r="371" spans="1:5" x14ac:dyDescent="0.25">
      <c r="A371" s="42" t="s">
        <v>1036</v>
      </c>
      <c r="B371" s="42" t="s">
        <v>1037</v>
      </c>
      <c r="C371" s="42" t="s">
        <v>328</v>
      </c>
      <c r="D371" s="4"/>
    </row>
    <row r="372" spans="1:5" x14ac:dyDescent="0.25">
      <c r="A372" s="42" t="s">
        <v>1038</v>
      </c>
      <c r="B372" s="42" t="s">
        <v>1039</v>
      </c>
      <c r="C372" s="42" t="s">
        <v>328</v>
      </c>
      <c r="D372" s="4"/>
    </row>
    <row r="373" spans="1:5" x14ac:dyDescent="0.25">
      <c r="A373" s="42" t="s">
        <v>1040</v>
      </c>
      <c r="B373" s="42" t="s">
        <v>1041</v>
      </c>
      <c r="C373" s="42" t="s">
        <v>72</v>
      </c>
      <c r="D373" s="4"/>
    </row>
    <row r="374" spans="1:5" x14ac:dyDescent="0.25">
      <c r="A374" s="42" t="s">
        <v>1042</v>
      </c>
      <c r="B374" s="42" t="s">
        <v>1043</v>
      </c>
      <c r="C374" s="42" t="s">
        <v>351</v>
      </c>
      <c r="D374" s="4"/>
      <c r="E374">
        <v>1</v>
      </c>
    </row>
    <row r="375" spans="1:5" x14ac:dyDescent="0.25">
      <c r="A375" s="42" t="s">
        <v>1044</v>
      </c>
      <c r="B375" s="42" t="s">
        <v>1045</v>
      </c>
      <c r="C375" s="42" t="s">
        <v>328</v>
      </c>
      <c r="D375" s="4"/>
    </row>
    <row r="376" spans="1:5" x14ac:dyDescent="0.25">
      <c r="A376" s="42" t="s">
        <v>1046</v>
      </c>
      <c r="B376" s="42" t="s">
        <v>1047</v>
      </c>
      <c r="C376" s="42" t="s">
        <v>332</v>
      </c>
      <c r="D376" s="4"/>
    </row>
    <row r="377" spans="1:5" x14ac:dyDescent="0.25">
      <c r="A377" s="42" t="s">
        <v>1048</v>
      </c>
      <c r="B377" s="42" t="s">
        <v>1049</v>
      </c>
      <c r="C377" s="42" t="s">
        <v>73</v>
      </c>
      <c r="D377" s="4"/>
    </row>
    <row r="378" spans="1:5" x14ac:dyDescent="0.25">
      <c r="A378" s="42" t="s">
        <v>1050</v>
      </c>
      <c r="B378" s="42" t="s">
        <v>1050</v>
      </c>
      <c r="C378" s="42" t="s">
        <v>367</v>
      </c>
      <c r="D378" s="4"/>
    </row>
    <row r="379" spans="1:5" x14ac:dyDescent="0.25">
      <c r="A379" s="42" t="s">
        <v>1051</v>
      </c>
      <c r="B379" s="42" t="s">
        <v>1051</v>
      </c>
      <c r="C379" s="42" t="s">
        <v>393</v>
      </c>
      <c r="D379" s="4"/>
    </row>
    <row r="380" spans="1:5" x14ac:dyDescent="0.25">
      <c r="A380" s="42" t="s">
        <v>1052</v>
      </c>
      <c r="B380" s="42" t="s">
        <v>1053</v>
      </c>
      <c r="C380" s="42" t="s">
        <v>77</v>
      </c>
      <c r="D380" s="4"/>
    </row>
    <row r="381" spans="1:5" x14ac:dyDescent="0.25">
      <c r="A381" s="42" t="s">
        <v>1054</v>
      </c>
      <c r="B381" s="42" t="s">
        <v>1055</v>
      </c>
      <c r="C381" s="42"/>
      <c r="D381" s="4"/>
      <c r="E381">
        <v>100</v>
      </c>
    </row>
    <row r="382" spans="1:5" x14ac:dyDescent="0.25">
      <c r="A382" s="42" t="s">
        <v>1056</v>
      </c>
      <c r="B382" s="42" t="s">
        <v>1057</v>
      </c>
      <c r="C382" s="42" t="s">
        <v>1058</v>
      </c>
      <c r="D382" s="4"/>
    </row>
    <row r="383" spans="1:5" x14ac:dyDescent="0.25">
      <c r="A383" s="42" t="s">
        <v>1059</v>
      </c>
      <c r="B383" s="42" t="s">
        <v>1059</v>
      </c>
      <c r="C383" s="42" t="s">
        <v>1060</v>
      </c>
      <c r="D383" s="4"/>
    </row>
    <row r="384" spans="1:5" x14ac:dyDescent="0.25">
      <c r="A384" s="42" t="s">
        <v>1061</v>
      </c>
      <c r="B384" s="42" t="s">
        <v>1061</v>
      </c>
      <c r="C384" s="42" t="s">
        <v>351</v>
      </c>
      <c r="D384" s="4"/>
    </row>
    <row r="385" spans="1:5" x14ac:dyDescent="0.25">
      <c r="A385" s="42" t="s">
        <v>1062</v>
      </c>
      <c r="B385" s="42" t="s">
        <v>1062</v>
      </c>
      <c r="C385" s="42" t="s">
        <v>332</v>
      </c>
      <c r="D385" s="4"/>
      <c r="E385">
        <v>1</v>
      </c>
    </row>
    <row r="386" spans="1:5" x14ac:dyDescent="0.25">
      <c r="A386" s="42" t="s">
        <v>1063</v>
      </c>
      <c r="B386" s="42" t="s">
        <v>1063</v>
      </c>
      <c r="C386" s="42" t="s">
        <v>367</v>
      </c>
      <c r="D386" s="4"/>
    </row>
    <row r="387" spans="1:5" x14ac:dyDescent="0.25">
      <c r="A387" s="42" t="s">
        <v>1064</v>
      </c>
      <c r="B387" s="42" t="s">
        <v>1064</v>
      </c>
      <c r="C387" s="42" t="s">
        <v>367</v>
      </c>
      <c r="D387" s="4"/>
    </row>
    <row r="388" spans="1:5" x14ac:dyDescent="0.25">
      <c r="A388" s="42" t="s">
        <v>1065</v>
      </c>
      <c r="B388" s="42" t="s">
        <v>1066</v>
      </c>
      <c r="C388" s="42" t="s">
        <v>367</v>
      </c>
      <c r="D388" s="4"/>
    </row>
    <row r="389" spans="1:5" x14ac:dyDescent="0.25">
      <c r="A389" s="42" t="s">
        <v>1067</v>
      </c>
      <c r="B389" s="42" t="s">
        <v>1068</v>
      </c>
      <c r="C389" s="42" t="s">
        <v>332</v>
      </c>
      <c r="D389" s="4"/>
    </row>
    <row r="390" spans="1:5" x14ac:dyDescent="0.25">
      <c r="A390" s="42" t="s">
        <v>1069</v>
      </c>
      <c r="B390" s="42" t="s">
        <v>1069</v>
      </c>
      <c r="C390" s="42" t="s">
        <v>1070</v>
      </c>
      <c r="D390" s="4"/>
    </row>
    <row r="391" spans="1:5" x14ac:dyDescent="0.25">
      <c r="A391" s="42" t="s">
        <v>1071</v>
      </c>
      <c r="B391" s="42" t="s">
        <v>1071</v>
      </c>
      <c r="C391" s="42" t="s">
        <v>1072</v>
      </c>
      <c r="D391" s="4"/>
    </row>
    <row r="392" spans="1:5" x14ac:dyDescent="0.25">
      <c r="A392" s="42" t="s">
        <v>1073</v>
      </c>
      <c r="B392" s="42" t="s">
        <v>1073</v>
      </c>
      <c r="C392" s="42" t="s">
        <v>1074</v>
      </c>
      <c r="D392" s="4"/>
    </row>
    <row r="393" spans="1:5" x14ac:dyDescent="0.25">
      <c r="A393" s="42" t="s">
        <v>1075</v>
      </c>
      <c r="B393" s="42" t="s">
        <v>1076</v>
      </c>
      <c r="C393" s="42" t="s">
        <v>1077</v>
      </c>
      <c r="D393" s="4"/>
    </row>
    <row r="394" spans="1:5" x14ac:dyDescent="0.25">
      <c r="A394" s="42" t="s">
        <v>1078</v>
      </c>
      <c r="B394" s="42" t="s">
        <v>1078</v>
      </c>
      <c r="C394" s="42" t="s">
        <v>1079</v>
      </c>
      <c r="D394" s="4"/>
    </row>
    <row r="395" spans="1:5" x14ac:dyDescent="0.25">
      <c r="A395" s="42" t="s">
        <v>1080</v>
      </c>
      <c r="B395" s="42" t="s">
        <v>1080</v>
      </c>
      <c r="C395" s="42" t="s">
        <v>393</v>
      </c>
      <c r="D395" s="4"/>
    </row>
    <row r="396" spans="1:5" x14ac:dyDescent="0.25">
      <c r="A396" s="42" t="s">
        <v>1081</v>
      </c>
      <c r="B396" s="42" t="s">
        <v>1081</v>
      </c>
      <c r="C396" s="42" t="s">
        <v>367</v>
      </c>
      <c r="D396" s="4"/>
    </row>
    <row r="397" spans="1:5" x14ac:dyDescent="0.25">
      <c r="A397" s="42" t="s">
        <v>1082</v>
      </c>
      <c r="B397" s="42" t="s">
        <v>1083</v>
      </c>
      <c r="C397" s="42" t="s">
        <v>367</v>
      </c>
      <c r="D397" s="4"/>
    </row>
    <row r="398" spans="1:5" x14ac:dyDescent="0.25">
      <c r="A398" s="42" t="s">
        <v>1084</v>
      </c>
      <c r="B398" s="42" t="s">
        <v>1085</v>
      </c>
      <c r="C398" s="42" t="s">
        <v>367</v>
      </c>
      <c r="D398" s="4"/>
    </row>
    <row r="399" spans="1:5" x14ac:dyDescent="0.25">
      <c r="A399" s="42" t="s">
        <v>1086</v>
      </c>
      <c r="B399" s="42" t="s">
        <v>1087</v>
      </c>
      <c r="C399" s="42" t="s">
        <v>367</v>
      </c>
      <c r="D399" s="4"/>
    </row>
    <row r="400" spans="1:5" x14ac:dyDescent="0.25">
      <c r="A400" s="42" t="s">
        <v>1088</v>
      </c>
      <c r="B400" s="42" t="s">
        <v>1088</v>
      </c>
      <c r="C400" s="42" t="s">
        <v>367</v>
      </c>
      <c r="D400" s="4"/>
    </row>
    <row r="401" spans="1:5" x14ac:dyDescent="0.25">
      <c r="A401" s="42" t="s">
        <v>1089</v>
      </c>
      <c r="B401" s="42" t="s">
        <v>1090</v>
      </c>
      <c r="C401" s="42" t="s">
        <v>332</v>
      </c>
      <c r="D401" s="4"/>
    </row>
    <row r="402" spans="1:5" x14ac:dyDescent="0.25">
      <c r="A402" s="42" t="s">
        <v>1091</v>
      </c>
      <c r="B402" s="42" t="s">
        <v>1092</v>
      </c>
      <c r="C402" s="42" t="s">
        <v>367</v>
      </c>
      <c r="D402" s="4"/>
    </row>
    <row r="403" spans="1:5" x14ac:dyDescent="0.25">
      <c r="A403" s="42" t="s">
        <v>1093</v>
      </c>
      <c r="B403" s="42" t="s">
        <v>1093</v>
      </c>
      <c r="C403" s="42" t="s">
        <v>328</v>
      </c>
      <c r="D403" s="4"/>
    </row>
    <row r="404" spans="1:5" x14ac:dyDescent="0.25">
      <c r="A404" s="42" t="s">
        <v>1094</v>
      </c>
      <c r="B404" s="42" t="s">
        <v>1095</v>
      </c>
      <c r="C404" s="42" t="s">
        <v>367</v>
      </c>
      <c r="D404" s="4"/>
    </row>
    <row r="405" spans="1:5" x14ac:dyDescent="0.25">
      <c r="A405" s="42" t="s">
        <v>1096</v>
      </c>
      <c r="B405" s="42" t="s">
        <v>1097</v>
      </c>
      <c r="C405" s="42" t="s">
        <v>332</v>
      </c>
      <c r="D405" s="4"/>
    </row>
    <row r="406" spans="1:5" x14ac:dyDescent="0.25">
      <c r="A406" s="42" t="s">
        <v>1098</v>
      </c>
      <c r="B406" s="42" t="s">
        <v>1098</v>
      </c>
      <c r="C406" s="42" t="s">
        <v>367</v>
      </c>
      <c r="D406" s="4"/>
    </row>
    <row r="407" spans="1:5" x14ac:dyDescent="0.25">
      <c r="A407" s="42" t="s">
        <v>1099</v>
      </c>
      <c r="B407" s="42" t="s">
        <v>1100</v>
      </c>
      <c r="C407" s="42" t="s">
        <v>1101</v>
      </c>
      <c r="D407" s="4"/>
    </row>
    <row r="408" spans="1:5" x14ac:dyDescent="0.25">
      <c r="A408" s="42" t="s">
        <v>1102</v>
      </c>
      <c r="B408" s="42" t="s">
        <v>1103</v>
      </c>
      <c r="C408" s="42" t="s">
        <v>393</v>
      </c>
      <c r="D408" s="4"/>
    </row>
    <row r="409" spans="1:5" x14ac:dyDescent="0.25">
      <c r="A409" s="42" t="s">
        <v>1104</v>
      </c>
      <c r="B409" s="42" t="s">
        <v>1104</v>
      </c>
      <c r="C409" s="42" t="s">
        <v>332</v>
      </c>
      <c r="D409" s="4"/>
    </row>
    <row r="410" spans="1:5" x14ac:dyDescent="0.25">
      <c r="A410" s="42" t="s">
        <v>1105</v>
      </c>
      <c r="B410" s="42" t="s">
        <v>1105</v>
      </c>
      <c r="C410" s="42" t="s">
        <v>393</v>
      </c>
      <c r="D410" s="4"/>
    </row>
    <row r="411" spans="1:5" x14ac:dyDescent="0.25">
      <c r="A411" s="42" t="s">
        <v>1106</v>
      </c>
      <c r="B411" s="42" t="s">
        <v>1107</v>
      </c>
      <c r="C411" s="42" t="s">
        <v>332</v>
      </c>
      <c r="D411" s="4"/>
    </row>
    <row r="412" spans="1:5" x14ac:dyDescent="0.25">
      <c r="A412" s="42" t="s">
        <v>1108</v>
      </c>
      <c r="B412" s="42" t="s">
        <v>1108</v>
      </c>
      <c r="C412" s="42" t="s">
        <v>328</v>
      </c>
      <c r="D412" s="4"/>
    </row>
    <row r="413" spans="1:5" x14ac:dyDescent="0.25">
      <c r="A413" s="42" t="s">
        <v>1109</v>
      </c>
      <c r="B413" s="42" t="s">
        <v>1110</v>
      </c>
      <c r="C413" s="42" t="s">
        <v>328</v>
      </c>
      <c r="D413" s="4"/>
      <c r="E413">
        <v>1</v>
      </c>
    </row>
    <row r="414" spans="1:5" x14ac:dyDescent="0.25">
      <c r="A414" s="42" t="s">
        <v>1111</v>
      </c>
      <c r="B414" s="42" t="s">
        <v>1112</v>
      </c>
      <c r="C414" s="42" t="s">
        <v>332</v>
      </c>
      <c r="D414" s="4"/>
      <c r="E414">
        <v>1</v>
      </c>
    </row>
    <row r="415" spans="1:5" x14ac:dyDescent="0.25">
      <c r="A415" s="42" t="s">
        <v>1113</v>
      </c>
      <c r="B415" s="42" t="s">
        <v>1113</v>
      </c>
      <c r="C415" s="42" t="s">
        <v>328</v>
      </c>
      <c r="D415" s="4"/>
    </row>
    <row r="416" spans="1:5" x14ac:dyDescent="0.25">
      <c r="A416" s="42" t="s">
        <v>1114</v>
      </c>
      <c r="B416" s="42" t="s">
        <v>1115</v>
      </c>
      <c r="C416" s="42" t="s">
        <v>332</v>
      </c>
      <c r="D416" s="4"/>
    </row>
    <row r="417" spans="1:5" x14ac:dyDescent="0.25">
      <c r="A417" s="42" t="s">
        <v>1116</v>
      </c>
      <c r="B417" s="42" t="s">
        <v>1117</v>
      </c>
      <c r="C417" s="42" t="s">
        <v>328</v>
      </c>
      <c r="D417" s="4"/>
      <c r="E417">
        <v>1</v>
      </c>
    </row>
    <row r="418" spans="1:5" x14ac:dyDescent="0.25">
      <c r="A418" s="42" t="s">
        <v>1118</v>
      </c>
      <c r="B418" s="42" t="s">
        <v>1118</v>
      </c>
      <c r="C418" s="42" t="s">
        <v>332</v>
      </c>
      <c r="D418" s="4"/>
    </row>
    <row r="419" spans="1:5" x14ac:dyDescent="0.25">
      <c r="A419" s="42" t="s">
        <v>1119</v>
      </c>
      <c r="B419" s="42" t="s">
        <v>1120</v>
      </c>
      <c r="C419" s="42" t="s">
        <v>351</v>
      </c>
      <c r="D419" s="4"/>
    </row>
    <row r="420" spans="1:5" x14ac:dyDescent="0.25">
      <c r="A420" s="42" t="s">
        <v>1121</v>
      </c>
      <c r="B420" s="42" t="s">
        <v>1121</v>
      </c>
      <c r="C420" s="42" t="s">
        <v>332</v>
      </c>
      <c r="D420" s="4"/>
    </row>
    <row r="421" spans="1:5" x14ac:dyDescent="0.25">
      <c r="A421" s="42" t="s">
        <v>1122</v>
      </c>
      <c r="B421" s="42" t="s">
        <v>1123</v>
      </c>
      <c r="C421" s="42" t="s">
        <v>393</v>
      </c>
      <c r="D421" s="4"/>
    </row>
    <row r="422" spans="1:5" x14ac:dyDescent="0.25">
      <c r="A422" s="42" t="s">
        <v>1124</v>
      </c>
      <c r="B422" s="42" t="s">
        <v>1125</v>
      </c>
      <c r="C422" s="42" t="s">
        <v>328</v>
      </c>
      <c r="D422" s="4"/>
    </row>
    <row r="423" spans="1:5" x14ac:dyDescent="0.25">
      <c r="A423" s="42" t="s">
        <v>1126</v>
      </c>
      <c r="B423" s="42" t="s">
        <v>1127</v>
      </c>
      <c r="C423" s="42" t="s">
        <v>328</v>
      </c>
      <c r="D423" s="4"/>
    </row>
    <row r="424" spans="1:5" x14ac:dyDescent="0.25">
      <c r="A424" s="42" t="s">
        <v>1128</v>
      </c>
      <c r="B424" s="42" t="s">
        <v>1128</v>
      </c>
      <c r="C424" s="42" t="s">
        <v>351</v>
      </c>
      <c r="D424" s="4"/>
    </row>
    <row r="425" spans="1:5" x14ac:dyDescent="0.25">
      <c r="A425" s="42" t="s">
        <v>1129</v>
      </c>
      <c r="B425" s="42" t="s">
        <v>1129</v>
      </c>
      <c r="C425" s="42" t="s">
        <v>1130</v>
      </c>
      <c r="D425" s="4"/>
    </row>
    <row r="426" spans="1:5" x14ac:dyDescent="0.25">
      <c r="A426" s="42" t="s">
        <v>1131</v>
      </c>
      <c r="B426" s="42" t="s">
        <v>1131</v>
      </c>
      <c r="C426" s="42" t="s">
        <v>362</v>
      </c>
      <c r="D426" s="4"/>
    </row>
    <row r="427" spans="1:5" x14ac:dyDescent="0.25">
      <c r="A427" s="42" t="s">
        <v>1132</v>
      </c>
      <c r="B427" s="42" t="s">
        <v>1133</v>
      </c>
      <c r="C427" s="42" t="s">
        <v>73</v>
      </c>
      <c r="D427" s="4"/>
    </row>
    <row r="428" spans="1:5" x14ac:dyDescent="0.25">
      <c r="A428" s="42" t="s">
        <v>1134</v>
      </c>
      <c r="B428" s="42" t="s">
        <v>1135</v>
      </c>
      <c r="C428" s="42" t="s">
        <v>328</v>
      </c>
      <c r="D428" s="4"/>
      <c r="E428">
        <v>1</v>
      </c>
    </row>
    <row r="429" spans="1:5" x14ac:dyDescent="0.25">
      <c r="A429" s="42" t="s">
        <v>1136</v>
      </c>
      <c r="B429" s="42" t="s">
        <v>1137</v>
      </c>
      <c r="C429" s="42" t="s">
        <v>328</v>
      </c>
      <c r="D429" s="4"/>
    </row>
    <row r="430" spans="1:5" x14ac:dyDescent="0.25">
      <c r="A430" s="42" t="s">
        <v>1138</v>
      </c>
      <c r="B430" s="42" t="s">
        <v>1139</v>
      </c>
      <c r="C430" s="42" t="s">
        <v>393</v>
      </c>
      <c r="D430" s="4"/>
    </row>
    <row r="431" spans="1:5" x14ac:dyDescent="0.25">
      <c r="A431" s="42" t="s">
        <v>1140</v>
      </c>
      <c r="B431" s="42" t="s">
        <v>1141</v>
      </c>
      <c r="C431" s="42" t="s">
        <v>332</v>
      </c>
      <c r="D431" s="4"/>
    </row>
    <row r="432" spans="1:5" x14ac:dyDescent="0.25">
      <c r="A432" s="42" t="s">
        <v>1142</v>
      </c>
      <c r="B432" s="42" t="s">
        <v>1142</v>
      </c>
      <c r="C432" s="42" t="s">
        <v>328</v>
      </c>
      <c r="D432" s="4"/>
    </row>
    <row r="433" spans="1:5" x14ac:dyDescent="0.25">
      <c r="A433" s="42" t="s">
        <v>1143</v>
      </c>
      <c r="B433" s="42" t="s">
        <v>1144</v>
      </c>
      <c r="C433" s="42" t="s">
        <v>328</v>
      </c>
      <c r="D433" s="4"/>
      <c r="E433">
        <v>1</v>
      </c>
    </row>
    <row r="434" spans="1:5" x14ac:dyDescent="0.25">
      <c r="A434" s="42" t="s">
        <v>1145</v>
      </c>
      <c r="B434" s="42" t="s">
        <v>1145</v>
      </c>
      <c r="C434" s="42" t="s">
        <v>332</v>
      </c>
      <c r="D434" s="4"/>
    </row>
    <row r="435" spans="1:5" x14ac:dyDescent="0.25">
      <c r="A435" s="42" t="s">
        <v>1146</v>
      </c>
      <c r="B435" s="42" t="s">
        <v>1147</v>
      </c>
      <c r="C435" s="42" t="s">
        <v>393</v>
      </c>
      <c r="D435" s="4"/>
    </row>
    <row r="436" spans="1:5" x14ac:dyDescent="0.25">
      <c r="A436" s="42" t="s">
        <v>1148</v>
      </c>
      <c r="B436" s="42" t="s">
        <v>1149</v>
      </c>
      <c r="C436" s="42" t="s">
        <v>332</v>
      </c>
      <c r="D436" s="4"/>
      <c r="E436">
        <v>1</v>
      </c>
    </row>
    <row r="437" spans="1:5" x14ac:dyDescent="0.25">
      <c r="A437" s="42" t="s">
        <v>1150</v>
      </c>
      <c r="B437" s="42" t="s">
        <v>1150</v>
      </c>
      <c r="C437" s="42" t="s">
        <v>362</v>
      </c>
      <c r="D437" s="4"/>
    </row>
    <row r="438" spans="1:5" x14ac:dyDescent="0.25">
      <c r="A438" s="42" t="s">
        <v>1151</v>
      </c>
      <c r="B438" s="42" t="s">
        <v>1152</v>
      </c>
      <c r="C438" s="42" t="s">
        <v>328</v>
      </c>
      <c r="D438" s="4"/>
      <c r="E438">
        <v>1</v>
      </c>
    </row>
    <row r="439" spans="1:5" x14ac:dyDescent="0.25">
      <c r="A439" s="42" t="s">
        <v>1153</v>
      </c>
      <c r="B439" s="42" t="s">
        <v>1154</v>
      </c>
      <c r="C439" s="42" t="s">
        <v>328</v>
      </c>
      <c r="D439" s="4"/>
      <c r="E439">
        <v>1</v>
      </c>
    </row>
    <row r="440" spans="1:5" x14ac:dyDescent="0.25">
      <c r="A440" s="42" t="s">
        <v>1155</v>
      </c>
      <c r="B440" s="42" t="s">
        <v>1155</v>
      </c>
      <c r="C440" s="42" t="s">
        <v>328</v>
      </c>
      <c r="D440" s="4"/>
    </row>
    <row r="441" spans="1:5" x14ac:dyDescent="0.25">
      <c r="A441" s="42" t="s">
        <v>1156</v>
      </c>
      <c r="B441" s="42" t="s">
        <v>1156</v>
      </c>
      <c r="C441" s="42"/>
      <c r="D441" s="4"/>
      <c r="E441">
        <v>15</v>
      </c>
    </row>
    <row r="442" spans="1:5" x14ac:dyDescent="0.25">
      <c r="A442" s="42" t="s">
        <v>1157</v>
      </c>
      <c r="B442" s="42" t="s">
        <v>1158</v>
      </c>
      <c r="C442" s="42" t="s">
        <v>328</v>
      </c>
      <c r="D442" s="4"/>
    </row>
    <row r="443" spans="1:5" x14ac:dyDescent="0.25">
      <c r="A443" s="42" t="s">
        <v>1159</v>
      </c>
      <c r="B443" s="42" t="s">
        <v>1160</v>
      </c>
      <c r="C443" s="42" t="s">
        <v>328</v>
      </c>
      <c r="D443" s="4"/>
    </row>
    <row r="444" spans="1:5" x14ac:dyDescent="0.25">
      <c r="A444" s="42" t="s">
        <v>1161</v>
      </c>
      <c r="B444" s="42" t="s">
        <v>1161</v>
      </c>
      <c r="C444" s="42" t="s">
        <v>344</v>
      </c>
      <c r="D444" s="4"/>
    </row>
    <row r="445" spans="1:5" x14ac:dyDescent="0.25">
      <c r="A445" s="42" t="s">
        <v>1162</v>
      </c>
      <c r="B445" s="42" t="s">
        <v>1163</v>
      </c>
      <c r="C445" s="42" t="s">
        <v>1164</v>
      </c>
      <c r="D445" s="4"/>
    </row>
    <row r="446" spans="1:5" x14ac:dyDescent="0.25">
      <c r="A446" s="42" t="s">
        <v>1165</v>
      </c>
      <c r="B446" s="42" t="s">
        <v>1166</v>
      </c>
      <c r="C446" s="42" t="s">
        <v>1167</v>
      </c>
      <c r="D446" s="4"/>
    </row>
    <row r="447" spans="1:5" x14ac:dyDescent="0.25">
      <c r="A447" s="42" t="s">
        <v>1168</v>
      </c>
      <c r="B447" s="42" t="s">
        <v>1169</v>
      </c>
      <c r="C447" s="42" t="s">
        <v>393</v>
      </c>
      <c r="D447" s="4"/>
    </row>
    <row r="448" spans="1:5" x14ac:dyDescent="0.25">
      <c r="A448" s="42" t="s">
        <v>1170</v>
      </c>
      <c r="B448" s="42" t="s">
        <v>1171</v>
      </c>
      <c r="C448" s="42" t="s">
        <v>1167</v>
      </c>
      <c r="D448" s="4"/>
    </row>
    <row r="449" spans="1:5" x14ac:dyDescent="0.25">
      <c r="A449" s="42" t="s">
        <v>1172</v>
      </c>
      <c r="B449" s="42" t="s">
        <v>1172</v>
      </c>
      <c r="C449" s="42" t="s">
        <v>351</v>
      </c>
      <c r="D449" s="4"/>
    </row>
    <row r="450" spans="1:5" x14ac:dyDescent="0.25">
      <c r="A450" s="42" t="s">
        <v>1173</v>
      </c>
      <c r="B450" s="42" t="s">
        <v>1173</v>
      </c>
      <c r="C450" s="42" t="s">
        <v>351</v>
      </c>
      <c r="D450" s="4"/>
    </row>
    <row r="451" spans="1:5" x14ac:dyDescent="0.25">
      <c r="A451" s="42" t="s">
        <v>1174</v>
      </c>
      <c r="B451" s="42" t="s">
        <v>1174</v>
      </c>
      <c r="C451" s="42" t="s">
        <v>1175</v>
      </c>
      <c r="D451" s="4"/>
    </row>
    <row r="452" spans="1:5" x14ac:dyDescent="0.25">
      <c r="A452" s="42" t="s">
        <v>1176</v>
      </c>
      <c r="B452" s="42" t="s">
        <v>1177</v>
      </c>
      <c r="C452" s="42" t="s">
        <v>332</v>
      </c>
      <c r="D452" s="4"/>
    </row>
    <row r="453" spans="1:5" x14ac:dyDescent="0.25">
      <c r="A453" s="42" t="s">
        <v>1178</v>
      </c>
      <c r="B453" s="42" t="s">
        <v>1178</v>
      </c>
      <c r="C453" s="42" t="s">
        <v>393</v>
      </c>
      <c r="D453" s="4"/>
    </row>
    <row r="454" spans="1:5" x14ac:dyDescent="0.25">
      <c r="A454" s="42" t="s">
        <v>1179</v>
      </c>
      <c r="B454" s="42" t="s">
        <v>1179</v>
      </c>
      <c r="C454" s="42" t="s">
        <v>393</v>
      </c>
      <c r="D454" s="4"/>
    </row>
    <row r="455" spans="1:5" x14ac:dyDescent="0.25">
      <c r="A455" s="42" t="s">
        <v>1180</v>
      </c>
      <c r="B455" s="42" t="s">
        <v>1180</v>
      </c>
      <c r="C455" s="42" t="s">
        <v>332</v>
      </c>
      <c r="D455" s="4"/>
    </row>
    <row r="456" spans="1:5" x14ac:dyDescent="0.25">
      <c r="A456" s="42" t="s">
        <v>1181</v>
      </c>
      <c r="B456" s="42" t="s">
        <v>1182</v>
      </c>
      <c r="C456" s="42"/>
      <c r="D456" s="4"/>
      <c r="E456">
        <v>500</v>
      </c>
    </row>
    <row r="457" spans="1:5" x14ac:dyDescent="0.25">
      <c r="A457" s="42" t="s">
        <v>1183</v>
      </c>
      <c r="B457" s="42" t="s">
        <v>1183</v>
      </c>
      <c r="C457" s="42" t="s">
        <v>1184</v>
      </c>
      <c r="D457" s="4"/>
      <c r="E457">
        <v>1</v>
      </c>
    </row>
    <row r="458" spans="1:5" x14ac:dyDescent="0.25">
      <c r="A458" s="42" t="s">
        <v>1185</v>
      </c>
      <c r="B458" s="42" t="s">
        <v>1185</v>
      </c>
      <c r="C458" s="42" t="s">
        <v>1186</v>
      </c>
      <c r="D458" s="4"/>
    </row>
    <row r="459" spans="1:5" x14ac:dyDescent="0.25">
      <c r="A459" s="42" t="s">
        <v>1187</v>
      </c>
      <c r="B459" s="42" t="s">
        <v>1188</v>
      </c>
      <c r="C459" s="42" t="s">
        <v>1189</v>
      </c>
      <c r="D459" s="4"/>
      <c r="E459">
        <v>1</v>
      </c>
    </row>
    <row r="460" spans="1:5" x14ac:dyDescent="0.25">
      <c r="A460" s="42" t="s">
        <v>1190</v>
      </c>
      <c r="B460" s="42" t="s">
        <v>1191</v>
      </c>
      <c r="C460" s="42" t="s">
        <v>1192</v>
      </c>
      <c r="D460" s="4"/>
    </row>
    <row r="461" spans="1:5" x14ac:dyDescent="0.25">
      <c r="A461" s="42" t="s">
        <v>1193</v>
      </c>
      <c r="B461" s="42" t="s">
        <v>1193</v>
      </c>
      <c r="C461" s="42" t="s">
        <v>1194</v>
      </c>
      <c r="D461" s="4"/>
    </row>
    <row r="462" spans="1:5" x14ac:dyDescent="0.25">
      <c r="A462" s="42" t="s">
        <v>1195</v>
      </c>
      <c r="B462" s="42" t="s">
        <v>1196</v>
      </c>
      <c r="C462" s="42" t="s">
        <v>1197</v>
      </c>
      <c r="D462" s="4"/>
      <c r="E462">
        <v>1</v>
      </c>
    </row>
    <row r="463" spans="1:5" x14ac:dyDescent="0.25">
      <c r="A463" s="42" t="s">
        <v>1198</v>
      </c>
      <c r="B463" s="42" t="s">
        <v>1198</v>
      </c>
      <c r="C463" s="42" t="s">
        <v>1199</v>
      </c>
      <c r="D463" s="4"/>
      <c r="E463">
        <v>1</v>
      </c>
    </row>
    <row r="464" spans="1:5" x14ac:dyDescent="0.25">
      <c r="A464" s="42" t="s">
        <v>1200</v>
      </c>
      <c r="B464" s="42" t="s">
        <v>1201</v>
      </c>
      <c r="C464" s="42" t="s">
        <v>344</v>
      </c>
      <c r="D464" s="4"/>
    </row>
    <row r="465" spans="1:5" x14ac:dyDescent="0.25">
      <c r="A465" s="42" t="s">
        <v>1202</v>
      </c>
      <c r="B465" s="42" t="s">
        <v>1203</v>
      </c>
      <c r="C465" s="42" t="s">
        <v>344</v>
      </c>
      <c r="D465" s="4"/>
    </row>
    <row r="466" spans="1:5" x14ac:dyDescent="0.25">
      <c r="A466" s="42" t="s">
        <v>1204</v>
      </c>
      <c r="B466" s="42" t="s">
        <v>1205</v>
      </c>
      <c r="C466" s="42" t="s">
        <v>362</v>
      </c>
      <c r="D466" s="4"/>
    </row>
    <row r="467" spans="1:5" x14ac:dyDescent="0.25">
      <c r="A467" s="42" t="s">
        <v>1206</v>
      </c>
      <c r="B467" s="42" t="s">
        <v>1206</v>
      </c>
      <c r="C467" s="42" t="s">
        <v>1207</v>
      </c>
      <c r="D467" s="4"/>
    </row>
    <row r="468" spans="1:5" x14ac:dyDescent="0.25">
      <c r="A468" s="42" t="s">
        <v>1208</v>
      </c>
      <c r="B468" s="42" t="s">
        <v>1209</v>
      </c>
      <c r="C468" s="42" t="s">
        <v>332</v>
      </c>
      <c r="D468" s="4"/>
      <c r="E468">
        <v>1</v>
      </c>
    </row>
    <row r="469" spans="1:5" x14ac:dyDescent="0.25">
      <c r="A469" s="42" t="s">
        <v>1210</v>
      </c>
      <c r="B469" s="42" t="s">
        <v>1210</v>
      </c>
      <c r="C469" s="42"/>
      <c r="D469" s="4"/>
      <c r="E469">
        <v>120</v>
      </c>
    </row>
    <row r="470" spans="1:5" x14ac:dyDescent="0.25">
      <c r="A470" s="42" t="s">
        <v>1211</v>
      </c>
      <c r="B470" s="42" t="s">
        <v>1212</v>
      </c>
      <c r="C470" s="42" t="s">
        <v>1213</v>
      </c>
      <c r="D470" s="4"/>
    </row>
    <row r="471" spans="1:5" x14ac:dyDescent="0.25">
      <c r="A471" s="42" t="s">
        <v>1214</v>
      </c>
      <c r="B471" s="42" t="s">
        <v>1215</v>
      </c>
      <c r="C471" s="42" t="s">
        <v>1216</v>
      </c>
      <c r="D471" s="4"/>
    </row>
    <row r="472" spans="1:5" x14ac:dyDescent="0.25">
      <c r="A472" s="42" t="s">
        <v>1217</v>
      </c>
      <c r="B472" s="42" t="s">
        <v>1217</v>
      </c>
      <c r="C472" s="42"/>
      <c r="D472" s="4"/>
      <c r="E472">
        <v>3650</v>
      </c>
    </row>
    <row r="473" spans="1:5" x14ac:dyDescent="0.25">
      <c r="A473" s="42" t="s">
        <v>1218</v>
      </c>
      <c r="B473" s="42"/>
      <c r="C473" s="42" t="s">
        <v>1219</v>
      </c>
      <c r="D473" s="4"/>
    </row>
    <row r="474" spans="1:5" x14ac:dyDescent="0.25">
      <c r="A474" s="42" t="s">
        <v>1220</v>
      </c>
      <c r="B474" s="42" t="s">
        <v>1220</v>
      </c>
      <c r="C474" s="42"/>
      <c r="D474" s="4"/>
      <c r="E474">
        <v>6</v>
      </c>
    </row>
    <row r="475" spans="1:5" x14ac:dyDescent="0.25">
      <c r="A475" s="42" t="s">
        <v>1221</v>
      </c>
      <c r="B475" s="42" t="s">
        <v>1222</v>
      </c>
      <c r="C475" s="42" t="s">
        <v>362</v>
      </c>
      <c r="D475" s="4"/>
    </row>
    <row r="476" spans="1:5" x14ac:dyDescent="0.25">
      <c r="A476" s="42" t="s">
        <v>1223</v>
      </c>
      <c r="B476" s="42" t="s">
        <v>1223</v>
      </c>
      <c r="C476" s="42" t="s">
        <v>393</v>
      </c>
      <c r="D476" s="4"/>
    </row>
    <row r="477" spans="1:5" x14ac:dyDescent="0.25">
      <c r="A477" s="42" t="s">
        <v>1224</v>
      </c>
      <c r="B477" s="42" t="s">
        <v>1225</v>
      </c>
      <c r="C477" s="42" t="s">
        <v>1226</v>
      </c>
      <c r="D477" s="4"/>
    </row>
    <row r="478" spans="1:5" x14ac:dyDescent="0.25">
      <c r="A478" s="42" t="s">
        <v>1227</v>
      </c>
      <c r="B478" s="42" t="s">
        <v>1227</v>
      </c>
      <c r="C478" s="42" t="s">
        <v>393</v>
      </c>
      <c r="D478" s="4"/>
    </row>
    <row r="479" spans="1:5" x14ac:dyDescent="0.25">
      <c r="A479" s="42" t="s">
        <v>1228</v>
      </c>
      <c r="B479" s="42" t="s">
        <v>1228</v>
      </c>
      <c r="C479" s="42" t="s">
        <v>328</v>
      </c>
      <c r="D479" s="4"/>
    </row>
    <row r="480" spans="1:5" x14ac:dyDescent="0.25">
      <c r="A480" s="42" t="s">
        <v>1229</v>
      </c>
      <c r="B480" s="42" t="s">
        <v>1229</v>
      </c>
      <c r="C480" s="42" t="s">
        <v>367</v>
      </c>
      <c r="D480" s="4"/>
    </row>
    <row r="481" spans="1:4" x14ac:dyDescent="0.25">
      <c r="A481" s="42" t="s">
        <v>1230</v>
      </c>
      <c r="B481" s="42" t="s">
        <v>1231</v>
      </c>
      <c r="C481" s="42" t="s">
        <v>1232</v>
      </c>
      <c r="D481" s="4"/>
    </row>
    <row r="482" spans="1:4" x14ac:dyDescent="0.25">
      <c r="A482" s="42" t="s">
        <v>1233</v>
      </c>
      <c r="B482" s="42" t="s">
        <v>1234</v>
      </c>
      <c r="C482" s="42" t="s">
        <v>1232</v>
      </c>
      <c r="D482" s="4"/>
    </row>
    <row r="483" spans="1:4" x14ac:dyDescent="0.25">
      <c r="A483" s="42" t="s">
        <v>1235</v>
      </c>
      <c r="B483" s="42" t="s">
        <v>1236</v>
      </c>
      <c r="C483" s="42" t="s">
        <v>1237</v>
      </c>
      <c r="D483" s="4"/>
    </row>
    <row r="484" spans="1:4" x14ac:dyDescent="0.25">
      <c r="A484" s="42" t="s">
        <v>1238</v>
      </c>
      <c r="B484" s="42" t="s">
        <v>1239</v>
      </c>
      <c r="C484" s="42" t="s">
        <v>1237</v>
      </c>
      <c r="D484" s="4"/>
    </row>
    <row r="485" spans="1:4" x14ac:dyDescent="0.25">
      <c r="A485" s="42" t="s">
        <v>1240</v>
      </c>
      <c r="B485" s="42" t="s">
        <v>1241</v>
      </c>
      <c r="C485" s="42" t="s">
        <v>1232</v>
      </c>
      <c r="D485" s="4"/>
    </row>
    <row r="486" spans="1:4" x14ac:dyDescent="0.25">
      <c r="A486" s="42" t="s">
        <v>1242</v>
      </c>
      <c r="B486" s="42" t="s">
        <v>1243</v>
      </c>
      <c r="C486" s="42" t="s">
        <v>1232</v>
      </c>
      <c r="D486" s="4"/>
    </row>
    <row r="487" spans="1:4" x14ac:dyDescent="0.25">
      <c r="A487" s="42" t="s">
        <v>1244</v>
      </c>
      <c r="B487" s="42" t="s">
        <v>1245</v>
      </c>
      <c r="C487" s="42" t="s">
        <v>1232</v>
      </c>
      <c r="D487" s="4"/>
    </row>
    <row r="488" spans="1:4" x14ac:dyDescent="0.25">
      <c r="A488" s="42" t="s">
        <v>1246</v>
      </c>
      <c r="B488" s="42" t="s">
        <v>1247</v>
      </c>
      <c r="C488" s="42" t="s">
        <v>1248</v>
      </c>
      <c r="D488" s="4"/>
    </row>
    <row r="489" spans="1:4" x14ac:dyDescent="0.25">
      <c r="A489" s="42" t="s">
        <v>1249</v>
      </c>
      <c r="B489" s="42" t="s">
        <v>1250</v>
      </c>
      <c r="C489" s="42" t="s">
        <v>1248</v>
      </c>
      <c r="D489" s="4"/>
    </row>
    <row r="490" spans="1:4" x14ac:dyDescent="0.25">
      <c r="A490" s="42" t="s">
        <v>1251</v>
      </c>
      <c r="B490" s="42" t="s">
        <v>1252</v>
      </c>
      <c r="C490" s="42" t="s">
        <v>902</v>
      </c>
      <c r="D490" s="4"/>
    </row>
    <row r="491" spans="1:4" x14ac:dyDescent="0.25">
      <c r="A491" s="42" t="s">
        <v>1253</v>
      </c>
      <c r="B491" s="42" t="s">
        <v>1254</v>
      </c>
      <c r="C491" s="42" t="s">
        <v>554</v>
      </c>
      <c r="D491" s="4"/>
    </row>
    <row r="492" spans="1:4" x14ac:dyDescent="0.25">
      <c r="A492" s="42" t="s">
        <v>1255</v>
      </c>
      <c r="B492" s="42" t="s">
        <v>1256</v>
      </c>
      <c r="C492" s="42" t="s">
        <v>902</v>
      </c>
      <c r="D492" s="4"/>
    </row>
    <row r="493" spans="1:4" x14ac:dyDescent="0.25">
      <c r="A493" s="42" t="s">
        <v>1257</v>
      </c>
      <c r="B493" s="42" t="s">
        <v>1257</v>
      </c>
      <c r="C493" s="42" t="s">
        <v>1258</v>
      </c>
      <c r="D493" s="4"/>
    </row>
    <row r="494" spans="1:4" x14ac:dyDescent="0.25">
      <c r="A494" s="42" t="s">
        <v>1259</v>
      </c>
      <c r="B494" s="42"/>
      <c r="C494" s="42"/>
      <c r="D494" s="4"/>
    </row>
    <row r="495" spans="1:4" x14ac:dyDescent="0.25">
      <c r="A495" s="42" t="s">
        <v>1260</v>
      </c>
      <c r="B495" s="42"/>
      <c r="C495" s="42" t="s">
        <v>344</v>
      </c>
      <c r="D495" s="4"/>
    </row>
    <row r="496" spans="1:4" x14ac:dyDescent="0.25">
      <c r="A496" s="42" t="s">
        <v>1261</v>
      </c>
      <c r="B496" s="42"/>
      <c r="C496" s="42"/>
      <c r="D496" s="4"/>
    </row>
    <row r="497" spans="1:5" x14ac:dyDescent="0.25">
      <c r="A497" s="42" t="s">
        <v>1262</v>
      </c>
      <c r="B497" s="42"/>
      <c r="C497" s="42"/>
      <c r="D497" s="4"/>
    </row>
    <row r="498" spans="1:5" x14ac:dyDescent="0.25">
      <c r="A498" s="42" t="s">
        <v>1263</v>
      </c>
      <c r="B498" s="42"/>
      <c r="C498" s="42"/>
      <c r="D498" s="4"/>
    </row>
    <row r="499" spans="1:5" x14ac:dyDescent="0.25">
      <c r="A499" s="42" t="s">
        <v>1264</v>
      </c>
      <c r="B499" s="42" t="s">
        <v>1265</v>
      </c>
      <c r="C499" s="42" t="s">
        <v>351</v>
      </c>
      <c r="D499" s="4"/>
    </row>
    <row r="500" spans="1:5" x14ac:dyDescent="0.25">
      <c r="A500" s="42" t="s">
        <v>1266</v>
      </c>
      <c r="B500" s="42" t="s">
        <v>1267</v>
      </c>
      <c r="C500" s="42" t="s">
        <v>332</v>
      </c>
      <c r="D500" s="4"/>
      <c r="E500">
        <v>1</v>
      </c>
    </row>
    <row r="501" spans="1:5" x14ac:dyDescent="0.25">
      <c r="A501" s="42" t="s">
        <v>1268</v>
      </c>
      <c r="B501" s="42" t="s">
        <v>1268</v>
      </c>
      <c r="C501" s="42" t="s">
        <v>1269</v>
      </c>
      <c r="D501" s="4"/>
    </row>
    <row r="502" spans="1:5" x14ac:dyDescent="0.25">
      <c r="A502" s="42" t="s">
        <v>1270</v>
      </c>
      <c r="B502" s="42" t="s">
        <v>1271</v>
      </c>
      <c r="C502" s="42" t="s">
        <v>351</v>
      </c>
      <c r="D502" s="4"/>
    </row>
    <row r="503" spans="1:5" x14ac:dyDescent="0.25">
      <c r="A503" s="42" t="s">
        <v>1272</v>
      </c>
      <c r="B503" s="42" t="s">
        <v>1273</v>
      </c>
      <c r="C503" s="42" t="s">
        <v>495</v>
      </c>
      <c r="D503" s="4"/>
    </row>
    <row r="504" spans="1:5" x14ac:dyDescent="0.25">
      <c r="A504" s="42" t="s">
        <v>1274</v>
      </c>
      <c r="B504" s="42"/>
      <c r="C504" s="42" t="s">
        <v>902</v>
      </c>
      <c r="D504" s="4"/>
    </row>
    <row r="505" spans="1:5" x14ac:dyDescent="0.25">
      <c r="A505" s="42" t="s">
        <v>1275</v>
      </c>
      <c r="B505" s="42" t="s">
        <v>1276</v>
      </c>
      <c r="C505" s="42" t="s">
        <v>902</v>
      </c>
      <c r="D505" s="4"/>
    </row>
    <row r="506" spans="1:5" x14ac:dyDescent="0.25">
      <c r="A506" s="42" t="s">
        <v>1277</v>
      </c>
      <c r="B506" s="42"/>
      <c r="C506" s="42" t="s">
        <v>902</v>
      </c>
      <c r="D506" s="4"/>
    </row>
    <row r="507" spans="1:5" x14ac:dyDescent="0.25">
      <c r="A507" s="42" t="s">
        <v>1278</v>
      </c>
      <c r="B507" s="42"/>
      <c r="C507" s="42" t="s">
        <v>354</v>
      </c>
      <c r="D507" s="4"/>
    </row>
    <row r="508" spans="1:5" x14ac:dyDescent="0.25">
      <c r="A508" s="42" t="s">
        <v>1279</v>
      </c>
      <c r="B508" s="42" t="s">
        <v>1279</v>
      </c>
      <c r="C508" s="42" t="s">
        <v>1280</v>
      </c>
      <c r="D508" s="4"/>
    </row>
    <row r="509" spans="1:5" x14ac:dyDescent="0.25">
      <c r="A509" s="42" t="s">
        <v>1281</v>
      </c>
      <c r="B509" s="42" t="s">
        <v>1281</v>
      </c>
      <c r="C509" s="42" t="s">
        <v>351</v>
      </c>
      <c r="D509" s="4"/>
    </row>
    <row r="510" spans="1:5" x14ac:dyDescent="0.25">
      <c r="A510" s="42" t="s">
        <v>1282</v>
      </c>
      <c r="B510" s="42" t="s">
        <v>1283</v>
      </c>
      <c r="C510" s="42" t="s">
        <v>1284</v>
      </c>
      <c r="D510" s="4"/>
    </row>
    <row r="511" spans="1:5" x14ac:dyDescent="0.25">
      <c r="A511" s="42" t="s">
        <v>1285</v>
      </c>
      <c r="B511" s="42" t="s">
        <v>1286</v>
      </c>
      <c r="C511" s="42" t="s">
        <v>1287</v>
      </c>
      <c r="D511" s="4"/>
    </row>
    <row r="512" spans="1:5" x14ac:dyDescent="0.25">
      <c r="A512" s="42" t="s">
        <v>1288</v>
      </c>
      <c r="B512" s="42" t="s">
        <v>1289</v>
      </c>
      <c r="C512" s="42" t="s">
        <v>1290</v>
      </c>
      <c r="D512" s="4"/>
    </row>
    <row r="513" spans="1:4" x14ac:dyDescent="0.25">
      <c r="A513" s="42" t="s">
        <v>1291</v>
      </c>
      <c r="B513" s="42" t="s">
        <v>1291</v>
      </c>
      <c r="C513" s="42" t="s">
        <v>351</v>
      </c>
      <c r="D513" s="4"/>
    </row>
    <row r="514" spans="1:4" x14ac:dyDescent="0.25">
      <c r="A514" s="42" t="s">
        <v>1292</v>
      </c>
      <c r="B514" s="42" t="s">
        <v>1292</v>
      </c>
      <c r="C514" s="42" t="s">
        <v>351</v>
      </c>
      <c r="D514" s="4"/>
    </row>
    <row r="515" spans="1:4" x14ac:dyDescent="0.25">
      <c r="A515" s="42" t="s">
        <v>1293</v>
      </c>
      <c r="B515" s="42" t="s">
        <v>1294</v>
      </c>
      <c r="C515" s="42" t="s">
        <v>1295</v>
      </c>
      <c r="D515" s="4"/>
    </row>
    <row r="516" spans="1:4" x14ac:dyDescent="0.25">
      <c r="A516" s="42" t="s">
        <v>1296</v>
      </c>
      <c r="B516" s="42" t="s">
        <v>1297</v>
      </c>
      <c r="C516" s="42" t="s">
        <v>1298</v>
      </c>
      <c r="D516" s="4"/>
    </row>
    <row r="517" spans="1:4" x14ac:dyDescent="0.25">
      <c r="A517" s="42" t="s">
        <v>1299</v>
      </c>
      <c r="B517" s="42" t="s">
        <v>1299</v>
      </c>
      <c r="C517" s="42" t="s">
        <v>72</v>
      </c>
      <c r="D517" s="4"/>
    </row>
    <row r="518" spans="1:4" x14ac:dyDescent="0.25">
      <c r="A518" s="42" t="s">
        <v>1300</v>
      </c>
      <c r="B518" s="42" t="s">
        <v>1301</v>
      </c>
      <c r="C518" s="42" t="s">
        <v>1302</v>
      </c>
      <c r="D518" s="4"/>
    </row>
    <row r="519" spans="1:4" x14ac:dyDescent="0.25">
      <c r="A519" s="42" t="s">
        <v>1303</v>
      </c>
      <c r="B519" s="42" t="s">
        <v>1304</v>
      </c>
      <c r="C519" s="42" t="s">
        <v>1305</v>
      </c>
      <c r="D519" s="4"/>
    </row>
    <row r="520" spans="1:4" x14ac:dyDescent="0.25">
      <c r="A520" s="42" t="s">
        <v>1306</v>
      </c>
      <c r="B520" s="42" t="s">
        <v>1307</v>
      </c>
      <c r="C520" s="42" t="s">
        <v>520</v>
      </c>
      <c r="D520" s="4"/>
    </row>
    <row r="521" spans="1:4" x14ac:dyDescent="0.25">
      <c r="A521" s="42" t="s">
        <v>1308</v>
      </c>
      <c r="B521" s="42" t="s">
        <v>1309</v>
      </c>
      <c r="C521" s="42" t="s">
        <v>351</v>
      </c>
      <c r="D521" s="4"/>
    </row>
    <row r="522" spans="1:4" x14ac:dyDescent="0.25">
      <c r="A522" s="42" t="s">
        <v>1310</v>
      </c>
      <c r="B522" s="42" t="s">
        <v>1311</v>
      </c>
      <c r="C522" s="42" t="s">
        <v>328</v>
      </c>
      <c r="D522" s="4"/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6DFA-DCDF-49AB-B96E-F51E7064A88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16345A-00FE-44A3-87AB-E4E67075E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6</vt:i4>
      </vt:variant>
    </vt:vector>
  </HeadingPairs>
  <TitlesOfParts>
    <vt:vector size="30" baseType="lpstr">
      <vt:lpstr>Formula</vt:lpstr>
      <vt:lpstr>Maximum Value</vt:lpstr>
      <vt:lpstr>Keyword</vt:lpstr>
      <vt:lpstr>Chart</vt:lpstr>
      <vt:lpstr>Hidden Row</vt:lpstr>
      <vt:lpstr>XML Import</vt:lpstr>
      <vt:lpstr>Hidden Column</vt:lpstr>
      <vt:lpstr>Hidden Sheet</vt:lpstr>
      <vt:lpstr>Condition Formatting</vt:lpstr>
      <vt:lpstr>Name Range Item</vt:lpstr>
      <vt:lpstr>Access Queries</vt:lpstr>
      <vt:lpstr>SQL Queries</vt:lpstr>
      <vt:lpstr>From Web</vt:lpstr>
      <vt:lpstr>From Text</vt:lpstr>
      <vt:lpstr>Protect Sheet</vt:lpstr>
      <vt:lpstr>Invisible Cells</vt:lpstr>
      <vt:lpstr>External links</vt:lpstr>
      <vt:lpstr>VAlidated Cells</vt:lpstr>
      <vt:lpstr>Errors</vt:lpstr>
      <vt:lpstr>Test</vt:lpstr>
      <vt:lpstr>Pvot Table</vt:lpstr>
      <vt:lpstr>Date and Time Format</vt:lpstr>
      <vt:lpstr>PARAMETER_TABLE</vt:lpstr>
      <vt:lpstr>Sheet1</vt:lpstr>
      <vt:lpstr>'From Text'!IP_Fidelity</vt:lpstr>
      <vt:lpstr>NameRange1</vt:lpstr>
      <vt:lpstr>'Name Range Item'!SheetNameRange</vt:lpstr>
      <vt:lpstr>TestAudit</vt:lpstr>
      <vt:lpstr>'From Web'!TodayTaskDetail</vt:lpstr>
      <vt:lpstr>'XML Import'!XL_Dictator</vt:lpstr>
    </vt:vector>
  </TitlesOfParts>
  <Manager>EUC</Manager>
  <Company>CIMCON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Amit Dave</dc:title>
  <dc:subject>Discovery</dc:subject>
  <dc:creator>Dave Amit; darshan</dc:creator>
  <cp:keywords>SQA</cp:keywords>
  <dc:description>Software</dc:description>
  <cp:lastModifiedBy>meet</cp:lastModifiedBy>
  <cp:revision>101</cp:revision>
  <cp:lastPrinted>2015-01-02T10:29:42Z</cp:lastPrinted>
  <dcterms:created xsi:type="dcterms:W3CDTF">2013-11-26T07:15:09Z</dcterms:created>
  <dcterms:modified xsi:type="dcterms:W3CDTF">2025-05-21T08:46:29Z</dcterms:modified>
  <cp:category>SQA; Test</cp:category>
  <cp:contentStatus>Yes</cp:contentStatus>
  <cp:version>5</cp:version>
</cp:coreProperties>
</file>