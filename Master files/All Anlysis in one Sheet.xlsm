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et\Desktop\Master files\"/>
    </mc:Choice>
  </mc:AlternateContent>
  <xr:revisionPtr revIDLastSave="0" documentId="13_ncr:1_{BC155494-C888-4734-B2FF-016E1B7A3F49}" xr6:coauthVersionLast="47" xr6:coauthVersionMax="47" xr10:uidLastSave="{00000000-0000-0000-0000-000000000000}"/>
  <bookViews>
    <workbookView xWindow="-120" yWindow="-120" windowWidth="20730" windowHeight="11160" activeTab="4" xr2:uid="{4D4E89E4-CDFA-45B5-B5F2-A8CD04CE94FE}"/>
  </bookViews>
  <sheets>
    <sheet name="Sheet1" sheetId="1" r:id="rId1"/>
    <sheet name="Sheet2" sheetId="2" r:id="rId2"/>
    <sheet name="Sheet3" sheetId="3" r:id="rId3"/>
    <sheet name="Sheet5" sheetId="5" r:id="rId4"/>
    <sheet name="Sheet6" sheetId="6" r:id="rId5"/>
    <sheet name="Sheet4" sheetId="7" r:id="rId6"/>
  </sheets>
  <externalReferences>
    <externalReference r:id="rId7"/>
    <externalReference r:id="rId8"/>
    <externalReference r:id="rId9"/>
    <externalReference r:id="rId10"/>
  </externalReferences>
  <definedNames>
    <definedName name="_xlcn.WorksheetConnection_Sheet1B47E531" hidden="1">Sheet1!$B$47:$E$53</definedName>
    <definedName name="ExternalData_1" localSheetId="0" hidden="1">Sheet1!$B$67:$V$106</definedName>
    <definedName name="NAMEITEM">Sheet1!$A$1:$C$9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heet1!$B$47:$E$5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6" l="1"/>
  <c r="A11" i="6"/>
  <c r="A26" i="1"/>
  <c r="A25" i="1"/>
  <c r="I35" i="1"/>
  <c r="K35" i="1" s="1"/>
  <c r="K33" i="1"/>
  <c r="K32" i="1"/>
  <c r="K31" i="1"/>
  <c r="K30" i="1"/>
  <c r="K29" i="1"/>
  <c r="K28" i="1"/>
  <c r="K27" i="1"/>
  <c r="J34" i="1"/>
  <c r="A23" i="1"/>
  <c r="Q1" i="1"/>
  <c r="J12" i="1"/>
  <c r="J11" i="1"/>
  <c r="I12" i="1"/>
  <c r="I11" i="1"/>
  <c r="L2" i="1"/>
  <c r="L3" i="1"/>
  <c r="L1" i="1"/>
  <c r="K4" i="1"/>
  <c r="J4" i="1"/>
  <c r="I4" i="1"/>
  <c r="E17" i="1"/>
  <c r="D17" i="1"/>
  <c r="F17" i="1" s="1"/>
  <c r="C19" i="1"/>
  <c r="C18" i="1"/>
  <c r="C17" i="1"/>
  <c r="C16" i="1"/>
  <c r="C15" i="1"/>
  <c r="C14" i="1"/>
  <c r="C13" i="1"/>
  <c r="A12" i="1"/>
  <c r="A11" i="1"/>
  <c r="H4" i="1"/>
  <c r="E10" i="1"/>
  <c r="G4" i="1"/>
  <c r="G8" i="1" s="1"/>
  <c r="F4" i="1"/>
  <c r="E4" i="1"/>
  <c r="G6" i="1" l="1"/>
  <c r="K34" i="1"/>
  <c r="D1" i="1"/>
  <c r="B9" i="1" a="1"/>
  <c r="B9" i="1" s="1"/>
  <c r="H7" i="1" l="1"/>
  <c r="E6" i="1"/>
  <c r="G10" i="1"/>
  <c r="G13" i="1" l="1"/>
  <c r="G14" i="1" s="1"/>
  <c r="I9" i="1"/>
  <c r="J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o'neil</author>
  </authors>
  <commentList>
    <comment ref="G8" authorId="0" shapeId="0" xr:uid="{A57C08FE-CD4F-4CB8-BA68-4CFB8DD5CC5D}">
      <text>
        <r>
          <rPr>
            <b/>
            <sz val="9"/>
            <color indexed="81"/>
            <rFont val="Tahoma"/>
            <family val="2"/>
          </rPr>
          <t>o'neil:</t>
        </r>
        <r>
          <rPr>
            <sz val="9"/>
            <color indexed="81"/>
            <rFont val="Tahoma"/>
            <family val="2"/>
          </rPr>
          <t xml:space="preserve">
Nested If</t>
        </r>
      </text>
    </comment>
    <comment ref="H9" authorId="0" shapeId="0" xr:uid="{E375A4F2-FFD0-4609-8EA2-B7670ED0D1A1}">
      <text>
        <r>
          <rPr>
            <b/>
            <sz val="9"/>
            <color indexed="81"/>
            <rFont val="Tahoma"/>
            <family val="2"/>
          </rPr>
          <t>o'neil:</t>
        </r>
        <r>
          <rPr>
            <sz val="9"/>
            <color indexed="81"/>
            <rFont val="Tahoma"/>
            <family val="2"/>
          </rPr>
          <t xml:space="preserve">
Cell Validation</t>
        </r>
      </text>
    </comment>
    <comment ref="E23" authorId="0" shapeId="0" xr:uid="{8D0F3680-1592-4BE9-9B3A-546B02DDDF32}">
      <text>
        <r>
          <rPr>
            <b/>
            <sz val="9"/>
            <color indexed="81"/>
            <rFont val="Tahoma"/>
            <family val="2"/>
          </rPr>
          <t>o'neil:</t>
        </r>
        <r>
          <rPr>
            <sz val="9"/>
            <color indexed="81"/>
            <rFont val="Tahoma"/>
            <family val="2"/>
          </rPr>
          <t xml:space="preserve">
Invisible cell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CB76B6-A3CF-4677-932E-867D0C801B2E}" keepAlive="1" name="Query - UserMaster" description="Connection to the 'UserMaster' query in the workbook." type="5" refreshedVersion="6" background="1" saveData="1">
    <dbPr connection="Provider=Microsoft.Mashup.OleDb.1;Data Source=$Workbook$;Location=UserMaster;Extended Properties=&quot;&quot;" command="SELECT * FROM [UserMaster]"/>
  </connection>
  <connection id="2" xr16:uid="{9CC56382-130A-48F8-BE41-B3928D8E3D8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E7162B0C-7C14-4C9A-BBBA-74F80CACB412}" name="WorksheetConnection_Sheet1!$B$47:$E$53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heet1B47E531"/>
        </x15:connection>
      </ext>
    </extLst>
  </connection>
</connections>
</file>

<file path=xl/sharedStrings.xml><?xml version="1.0" encoding="utf-8"?>
<sst xmlns="http://schemas.openxmlformats.org/spreadsheetml/2006/main" count="364" uniqueCount="152">
  <si>
    <t>Aus</t>
  </si>
  <si>
    <t>SL</t>
  </si>
  <si>
    <t>WES</t>
  </si>
  <si>
    <t>ENG</t>
  </si>
  <si>
    <t>Opp Country</t>
  </si>
  <si>
    <t>Runs</t>
  </si>
  <si>
    <t>Wics</t>
  </si>
  <si>
    <t xml:space="preserve">Subject </t>
  </si>
  <si>
    <t>Marks</t>
  </si>
  <si>
    <t>Obtain Marks</t>
  </si>
  <si>
    <t>English</t>
  </si>
  <si>
    <t>Physics</t>
  </si>
  <si>
    <t>Maths</t>
  </si>
  <si>
    <t>Sanskrit</t>
  </si>
  <si>
    <t>Hindi</t>
  </si>
  <si>
    <t>Gujarati</t>
  </si>
  <si>
    <t>Ecomnomy</t>
  </si>
  <si>
    <t>Total</t>
  </si>
  <si>
    <t>Perc</t>
  </si>
  <si>
    <t>Sub wise %</t>
  </si>
  <si>
    <t>1236221316221317524855358123132</t>
  </si>
  <si>
    <t>30569309025904</t>
  </si>
  <si>
    <t xml:space="preserve">377483098591939
</t>
  </si>
  <si>
    <t xml:space="preserve"> 8269602C</t>
  </si>
  <si>
    <t>8269602C</t>
  </si>
  <si>
    <t>1234567FA</t>
  </si>
  <si>
    <t>Quarter 1</t>
  </si>
  <si>
    <t>Quarter 2</t>
  </si>
  <si>
    <t>Quarter 4</t>
  </si>
  <si>
    <t>Month</t>
  </si>
  <si>
    <t>Jan</t>
  </si>
  <si>
    <t>Feb</t>
  </si>
  <si>
    <t>Mar</t>
  </si>
  <si>
    <t>Apr</t>
  </si>
  <si>
    <t>May</t>
  </si>
  <si>
    <t>Jun</t>
  </si>
  <si>
    <t>Aug</t>
  </si>
  <si>
    <t>Sep</t>
  </si>
  <si>
    <t>Oct</t>
  </si>
  <si>
    <t>Nov</t>
  </si>
  <si>
    <t>Dec</t>
  </si>
  <si>
    <t>Total $</t>
  </si>
  <si>
    <t>Income ($) in Million</t>
  </si>
  <si>
    <t>Equity</t>
  </si>
  <si>
    <t>Loans</t>
  </si>
  <si>
    <t>Other grants</t>
  </si>
  <si>
    <t>Sales</t>
  </si>
  <si>
    <t>Row Labels</t>
  </si>
  <si>
    <t>Grand Total</t>
  </si>
  <si>
    <t>Sum of Jan</t>
  </si>
  <si>
    <t>Sum of Feb</t>
  </si>
  <si>
    <t>Sum of Mar</t>
  </si>
  <si>
    <t>Sum of Apr</t>
  </si>
  <si>
    <t>Sum of May</t>
  </si>
  <si>
    <t>Sum of Jun</t>
  </si>
  <si>
    <t>UserID</t>
  </si>
  <si>
    <t>UserName</t>
  </si>
  <si>
    <t>UserPWD</t>
  </si>
  <si>
    <t>UserFullName</t>
  </si>
  <si>
    <t>UserEMailID</t>
  </si>
  <si>
    <t>DomainID</t>
  </si>
  <si>
    <t>LastPWDAgingDate</t>
  </si>
  <si>
    <t>AccountStatus</t>
  </si>
  <si>
    <t>DisableUpToDate</t>
  </si>
  <si>
    <t>DisableReason</t>
  </si>
  <si>
    <t>LastLoginTime</t>
  </si>
  <si>
    <t>LastLogoutTime</t>
  </si>
  <si>
    <t>Deleted</t>
  </si>
  <si>
    <t>LockoutTime</t>
  </si>
  <si>
    <t>CreatedBy</t>
  </si>
  <si>
    <t>CreatedOn</t>
  </si>
  <si>
    <t>LastModifiedBy</t>
  </si>
  <si>
    <t>LastModifiedOn</t>
  </si>
  <si>
    <t>MAXFAILUREATTEMPT</t>
  </si>
  <si>
    <t>DISABLEPERIODFORFAILURE</t>
  </si>
  <si>
    <t>AGINGPERIOD</t>
  </si>
  <si>
    <t>Administrator</t>
  </si>
  <si>
    <t>AfdVpmEWpqym5B7dPLFufA==</t>
  </si>
  <si>
    <t>E</t>
  </si>
  <si>
    <t>N</t>
  </si>
  <si>
    <t>TAdministrator</t>
  </si>
  <si>
    <t>S1/LXOJ8sQKenhJIUjL4TA==</t>
  </si>
  <si>
    <t>T-Administrator</t>
  </si>
  <si>
    <t>ZAdministrator</t>
  </si>
  <si>
    <t>K2v8bORlrNlowb2EaOmi9Q==</t>
  </si>
  <si>
    <t>Z-Administrator</t>
  </si>
  <si>
    <t>margi@cipl.com</t>
  </si>
  <si>
    <t/>
  </si>
  <si>
    <t>NOT FOUND</t>
  </si>
  <si>
    <t>NOT APPLICABLE</t>
  </si>
  <si>
    <t>viral</t>
  </si>
  <si>
    <t>Viral Shah</t>
  </si>
  <si>
    <t>viral@cipl.com</t>
  </si>
  <si>
    <t>Amit</t>
  </si>
  <si>
    <t>Amit Dave</t>
  </si>
  <si>
    <t>amit@cipl.com</t>
  </si>
  <si>
    <t>Margi</t>
  </si>
  <si>
    <t>Margi Shah</t>
  </si>
  <si>
    <t>Sumit</t>
  </si>
  <si>
    <t>Sumit Sain</t>
  </si>
  <si>
    <t>sumit@cipl.com</t>
  </si>
  <si>
    <t>B'Wliam</t>
  </si>
  <si>
    <t>B'Wiliam Messi</t>
  </si>
  <si>
    <t>D'Wiliam</t>
  </si>
  <si>
    <t>D'Wiliam D'Soza</t>
  </si>
  <si>
    <t>bhagyesh</t>
  </si>
  <si>
    <t>Bhagyesh Dave</t>
  </si>
  <si>
    <t>bhagyesh@cipl.com</t>
  </si>
  <si>
    <t>jai</t>
  </si>
  <si>
    <t>Jai Nagar</t>
  </si>
  <si>
    <t>jai@cipl.com</t>
  </si>
  <si>
    <t>Jigar</t>
  </si>
  <si>
    <t>John</t>
  </si>
  <si>
    <t>JSmith</t>
  </si>
  <si>
    <t>John Smith</t>
  </si>
  <si>
    <t>jose</t>
  </si>
  <si>
    <t>Jôse Williams</t>
  </si>
  <si>
    <t>ritish@cipl.com</t>
  </si>
  <si>
    <t>Manisha</t>
  </si>
  <si>
    <t>Manisha Yadav</t>
  </si>
  <si>
    <t>manisha@cipl.com</t>
  </si>
  <si>
    <t>nisarg</t>
  </si>
  <si>
    <t>Nisarg Shah</t>
  </si>
  <si>
    <t>nisarg@cipl.com</t>
  </si>
  <si>
    <t>O'Neil</t>
  </si>
  <si>
    <t>O'Neil Cristiano</t>
  </si>
  <si>
    <t>admin</t>
  </si>
  <si>
    <t>VciLQON8MyETGyEOevV/Gw==</t>
  </si>
  <si>
    <t>Ankit</t>
  </si>
  <si>
    <t>vivek</t>
  </si>
  <si>
    <t>Vivek Pandey</t>
  </si>
  <si>
    <t>vivek@cipl.com</t>
  </si>
  <si>
    <t>support admin</t>
  </si>
  <si>
    <t>spchservice</t>
  </si>
  <si>
    <t>SQAIT</t>
  </si>
  <si>
    <t>TKelly</t>
  </si>
  <si>
    <t>Terresa Kelly</t>
  </si>
  <si>
    <t>NBrown</t>
  </si>
  <si>
    <t>Nancy Brown</t>
  </si>
  <si>
    <t>EUC</t>
  </si>
  <si>
    <t>ShSQL</t>
  </si>
  <si>
    <t>soxzero</t>
  </si>
  <si>
    <t>Ritish</t>
  </si>
  <si>
    <t>Ritish K</t>
  </si>
  <si>
    <t>userGRP13</t>
  </si>
  <si>
    <t>Y</t>
  </si>
  <si>
    <t>userGRP12</t>
  </si>
  <si>
    <t>userGRP11</t>
  </si>
  <si>
    <t>m_shah@cimcon.com</t>
  </si>
  <si>
    <t>Ppatel</t>
  </si>
  <si>
    <t>Pratik Patel</t>
  </si>
  <si>
    <t>ppatel@cipl.com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</si>
</sst>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3" formatCode="_(* #,##0.00_);_(* \(#,##0.00\);_(* &quot;-&quot;??_);_(@_)"/>
    <numFmt numFmtId="164" formatCode="[$£-809]#,##0.00;[Red][$£-809]#,##0.00"/>
    <numFmt numFmtId="165" formatCode="[$$-4809]#,##0.00;[Red][$$-4809]#,##0.00"/>
    <numFmt numFmtId="166" formatCode="#,##0.00\ [$₸-43F]"/>
    <numFmt numFmtId="167" formatCode="[$$-45C]#,##0.00"/>
    <numFmt numFmtId="168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.5"/>
      <color rgb="FF008000"/>
      <name val="Consolas"/>
      <family val="3"/>
    </font>
    <font>
      <sz val="9.5"/>
      <color rgb="FFFF0000"/>
      <name val="Consolas"/>
      <family val="3"/>
    </font>
    <font>
      <sz val="10"/>
      <name val="Arial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9"/>
      <name val="Century Gothic"/>
      <family val="2"/>
    </font>
    <font>
      <b/>
      <sz val="9"/>
      <name val="Century Gothic"/>
      <family val="2"/>
    </font>
    <font>
      <b/>
      <sz val="11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7" fillId="0" borderId="0"/>
    <xf numFmtId="43" fontId="7" fillId="0" borderId="0" applyFon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8" fontId="0" fillId="0" borderId="0" xfId="0" applyNumberFormat="1"/>
    <xf numFmtId="0" fontId="2" fillId="3" borderId="0" xfId="0" applyFont="1" applyFill="1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1" fillId="0" borderId="0" xfId="0" applyFont="1" applyAlignment="1">
      <alignment wrapText="1"/>
    </xf>
    <xf numFmtId="0" fontId="9" fillId="0" borderId="0" xfId="2" applyFont="1"/>
    <xf numFmtId="37" fontId="10" fillId="0" borderId="0" xfId="2" applyNumberFormat="1" applyFont="1" applyAlignment="1">
      <alignment horizontal="right"/>
    </xf>
    <xf numFmtId="49" fontId="10" fillId="0" borderId="0" xfId="2" applyNumberFormat="1" applyFont="1" applyAlignment="1">
      <alignment horizontal="right"/>
    </xf>
    <xf numFmtId="168" fontId="11" fillId="0" borderId="0" xfId="2" applyNumberFormat="1" applyFont="1"/>
    <xf numFmtId="0" fontId="12" fillId="4" borderId="5" xfId="2" applyFont="1" applyFill="1" applyBorder="1" applyAlignment="1">
      <alignment horizontal="center"/>
    </xf>
    <xf numFmtId="0" fontId="8" fillId="5" borderId="3" xfId="2" applyFont="1" applyFill="1" applyBorder="1" applyAlignment="1">
      <alignment horizontal="right"/>
    </xf>
    <xf numFmtId="0" fontId="8" fillId="0" borderId="2" xfId="2" applyFont="1" applyBorder="1" applyAlignment="1">
      <alignment horizontal="right"/>
    </xf>
    <xf numFmtId="37" fontId="11" fillId="0" borderId="2" xfId="2" applyNumberFormat="1" applyFont="1" applyBorder="1" applyAlignment="1">
      <alignment horizontal="right"/>
    </xf>
    <xf numFmtId="0" fontId="8" fillId="5" borderId="4" xfId="2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vertical="top" wrapText="1"/>
    </xf>
    <xf numFmtId="22" fontId="0" fillId="0" borderId="0" xfId="0" applyNumberFormat="1"/>
    <xf numFmtId="0" fontId="1" fillId="0" borderId="0" xfId="0" applyFont="1" applyAlignment="1">
      <alignment horizontal="center" vertical="center" wrapText="1"/>
    </xf>
    <xf numFmtId="0" fontId="2" fillId="2" borderId="0" xfId="1" applyBorder="1" applyAlignment="1" applyProtection="1">
      <alignment horizontal="center" vertical="center" wrapText="1"/>
    </xf>
    <xf numFmtId="0" fontId="2" fillId="2" borderId="1" xfId="1" applyBorder="1" applyAlignment="1" applyProtection="1">
      <alignment horizontal="center" vertical="center" wrapText="1"/>
    </xf>
    <xf numFmtId="0" fontId="0" fillId="0" borderId="0" xfId="0" applyAlignment="1">
      <alignment horizontal="center"/>
    </xf>
  </cellXfs>
  <cellStyles count="4">
    <cellStyle name="Accent1" xfId="1" builtinId="29"/>
    <cellStyle name="Comma 2" xfId="3" xr:uid="{00000000-0005-0000-0000-00002F000000}"/>
    <cellStyle name="Normal" xfId="0" builtinId="0"/>
    <cellStyle name="Normal 2" xfId="2" xr:uid="{00000000-0005-0000-0000-000031000000}"/>
  </cellStyles>
  <dxfs count="15">
    <dxf>
      <numFmt numFmtId="27" formatCode="m/d/yyyy\ h:mm"/>
    </dxf>
    <dxf>
      <numFmt numFmtId="27" formatCode="m/d/yyyy\ h:mm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gradientFill type="path" left="0.5" right="0.5" top="0.5" bottom="0.5">
          <stop position="0">
            <color theme="4" tint="0.59999389629810485"/>
          </stop>
          <stop position="1">
            <color theme="4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ivotCacheDefinition" Target="pivotCache/pivotCacheDefinition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4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69680385696468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Sheet1!$I$26</c:f>
              <c:strCache>
                <c:ptCount val="1"/>
                <c:pt idx="0">
                  <c:v>Marks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Sheet1!$H$27:$H$35</c:f>
              <c:strCache>
                <c:ptCount val="9"/>
                <c:pt idx="0">
                  <c:v>English</c:v>
                </c:pt>
                <c:pt idx="1">
                  <c:v>Physics</c:v>
                </c:pt>
                <c:pt idx="2">
                  <c:v>Maths</c:v>
                </c:pt>
                <c:pt idx="3">
                  <c:v>Sanskrit</c:v>
                </c:pt>
                <c:pt idx="4">
                  <c:v>Hindi</c:v>
                </c:pt>
                <c:pt idx="5">
                  <c:v>Gujarati</c:v>
                </c:pt>
                <c:pt idx="6">
                  <c:v>Ecomnomy</c:v>
                </c:pt>
                <c:pt idx="7">
                  <c:v>Total</c:v>
                </c:pt>
                <c:pt idx="8">
                  <c:v>Perc</c:v>
                </c:pt>
              </c:strCache>
            </c:strRef>
          </c:cat>
          <c:val>
            <c:numRef>
              <c:f>Sheet1!$I$27:$I$35</c:f>
              <c:numCache>
                <c:formatCode>General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8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0-49C0-866E-96C5DE8A296B}"/>
            </c:ext>
          </c:extLst>
        </c:ser>
        <c:ser>
          <c:idx val="1"/>
          <c:order val="1"/>
          <c:tx>
            <c:strRef>
              <c:f>Sheet1!$J$26</c:f>
              <c:strCache>
                <c:ptCount val="1"/>
                <c:pt idx="0">
                  <c:v>Obtain Marks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Sheet1!$H$27:$H$35</c:f>
              <c:strCache>
                <c:ptCount val="9"/>
                <c:pt idx="0">
                  <c:v>English</c:v>
                </c:pt>
                <c:pt idx="1">
                  <c:v>Physics</c:v>
                </c:pt>
                <c:pt idx="2">
                  <c:v>Maths</c:v>
                </c:pt>
                <c:pt idx="3">
                  <c:v>Sanskrit</c:v>
                </c:pt>
                <c:pt idx="4">
                  <c:v>Hindi</c:v>
                </c:pt>
                <c:pt idx="5">
                  <c:v>Gujarati</c:v>
                </c:pt>
                <c:pt idx="6">
                  <c:v>Ecomnomy</c:v>
                </c:pt>
                <c:pt idx="7">
                  <c:v>Total</c:v>
                </c:pt>
                <c:pt idx="8">
                  <c:v>Perc</c:v>
                </c:pt>
              </c:strCache>
            </c:strRef>
          </c:cat>
          <c:val>
            <c:numRef>
              <c:f>Sheet1!$J$27:$J$35</c:f>
              <c:numCache>
                <c:formatCode>General</c:formatCode>
                <c:ptCount val="9"/>
                <c:pt idx="0">
                  <c:v>90</c:v>
                </c:pt>
                <c:pt idx="1">
                  <c:v>70</c:v>
                </c:pt>
                <c:pt idx="2">
                  <c:v>65</c:v>
                </c:pt>
                <c:pt idx="3">
                  <c:v>75</c:v>
                </c:pt>
                <c:pt idx="4">
                  <c:v>85</c:v>
                </c:pt>
                <c:pt idx="5">
                  <c:v>80</c:v>
                </c:pt>
                <c:pt idx="6">
                  <c:v>87</c:v>
                </c:pt>
                <c:pt idx="7">
                  <c:v>552</c:v>
                </c:pt>
                <c:pt idx="8">
                  <c:v>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E0-49C0-866E-96C5DE8A296B}"/>
            </c:ext>
          </c:extLst>
        </c:ser>
        <c:ser>
          <c:idx val="2"/>
          <c:order val="2"/>
          <c:tx>
            <c:strRef>
              <c:f>Sheet1!$K$26</c:f>
              <c:strCache>
                <c:ptCount val="1"/>
                <c:pt idx="0">
                  <c:v>Sub wise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Sheet1!$H$27:$H$35</c:f>
              <c:strCache>
                <c:ptCount val="9"/>
                <c:pt idx="0">
                  <c:v>English</c:v>
                </c:pt>
                <c:pt idx="1">
                  <c:v>Physics</c:v>
                </c:pt>
                <c:pt idx="2">
                  <c:v>Maths</c:v>
                </c:pt>
                <c:pt idx="3">
                  <c:v>Sanskrit</c:v>
                </c:pt>
                <c:pt idx="4">
                  <c:v>Hindi</c:v>
                </c:pt>
                <c:pt idx="5">
                  <c:v>Gujarati</c:v>
                </c:pt>
                <c:pt idx="6">
                  <c:v>Ecomnomy</c:v>
                </c:pt>
                <c:pt idx="7">
                  <c:v>Total</c:v>
                </c:pt>
                <c:pt idx="8">
                  <c:v>Perc</c:v>
                </c:pt>
              </c:strCache>
            </c:strRef>
          </c:cat>
          <c:val>
            <c:numRef>
              <c:f>Sheet1!$K$27:$K$35</c:f>
              <c:numCache>
                <c:formatCode>0.00</c:formatCode>
                <c:ptCount val="9"/>
                <c:pt idx="0" formatCode="General">
                  <c:v>90</c:v>
                </c:pt>
                <c:pt idx="1">
                  <c:v>70</c:v>
                </c:pt>
                <c:pt idx="2">
                  <c:v>65</c:v>
                </c:pt>
                <c:pt idx="3">
                  <c:v>75</c:v>
                </c:pt>
                <c:pt idx="4">
                  <c:v>85</c:v>
                </c:pt>
                <c:pt idx="5">
                  <c:v>80</c:v>
                </c:pt>
                <c:pt idx="6" formatCode="General">
                  <c:v>87</c:v>
                </c:pt>
                <c:pt idx="7">
                  <c:v>552</c:v>
                </c:pt>
                <c:pt idx="8">
                  <c:v>78.857142857142861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E0-49C0-866E-96C5DE8A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3675152"/>
        <c:axId val="653681712"/>
      </c:barChart>
      <c:catAx>
        <c:axId val="65367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81712"/>
        <c:crosses val="autoZero"/>
        <c:auto val="1"/>
        <c:lblAlgn val="ctr"/>
        <c:lblOffset val="100"/>
        <c:noMultiLvlLbl val="0"/>
      </c:catAx>
      <c:valAx>
        <c:axId val="65368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7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28</xdr:row>
      <xdr:rowOff>109537</xdr:rowOff>
    </xdr:from>
    <xdr:to>
      <xdr:col>12</xdr:col>
      <xdr:colOff>438150</xdr:colOff>
      <xdr:row>42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1DEA69-B84C-453D-9EFE-4ECE9FDDE0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171451</xdr:colOff>
      <xdr:row>97</xdr:row>
      <xdr:rowOff>161924</xdr:rowOff>
    </xdr:from>
    <xdr:to>
      <xdr:col>10</xdr:col>
      <xdr:colOff>407195</xdr:colOff>
      <xdr:row>106</xdr:row>
      <xdr:rowOff>152399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ABFF62-808C-47B6-9983-86DF560E3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1" y="18830924"/>
          <a:ext cx="1416844" cy="1133475"/>
        </a:xfrm>
        <a:prstGeom prst="rect">
          <a:avLst/>
        </a:prstGeom>
      </xdr:spPr>
    </xdr:pic>
    <xdr:clientData/>
  </xdr:twoCellAnchor>
  <xdr:twoCellAnchor editAs="oneCell">
    <xdr:from>
      <xdr:col>65</xdr:col>
      <xdr:colOff>76201</xdr:colOff>
      <xdr:row>102</xdr:row>
      <xdr:rowOff>0</xdr:rowOff>
    </xdr:from>
    <xdr:to>
      <xdr:col>72</xdr:col>
      <xdr:colOff>297656</xdr:colOff>
      <xdr:row>121</xdr:row>
      <xdr:rowOff>161924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61DCDAC-D671-45DE-886E-8A82537E2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28551" y="19240500"/>
          <a:ext cx="4488655" cy="359092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esting2\1\shared-%2006%20Financial%20Statemen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nk%20File%2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et/Desktop/XLAudit%5d/2/Broken/Brok-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et/Desktop/XLAudit%5d/2/Broken/Brok-A-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inancial Statement"/>
      <sheetName val="Formula Review"/>
      <sheetName val="View"/>
      <sheetName val="1"/>
      <sheetName val="Validations"/>
    </sheetNames>
    <sheetDataSet>
      <sheetData sheetId="0" refreshError="1"/>
      <sheetData sheetId="1" refreshError="1">
        <row r="16">
          <cell r="D16">
            <v>234500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A3">
            <v>3</v>
          </cell>
        </row>
        <row r="6">
          <cell r="C6">
            <v>28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>
            <v>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1">
          <cell r="E11">
            <v>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'neil" refreshedDate="43893.534985069447" createdVersion="6" refreshedVersion="6" minRefreshableVersion="3" recordCount="6" xr:uid="{08F86C1F-642A-4185-B237-201BF5F945BA}">
  <cacheSource type="worksheet">
    <worksheetSource ref="B47:E53" sheet="Sheet1"/>
  </cacheSource>
  <cacheFields count="4">
    <cacheField name="Month" numFmtId="0">
      <sharedItems count="6">
        <s v="Income ($) in Million"/>
        <s v="Equity"/>
        <s v="Loans"/>
        <s v="Other grants"/>
        <s v="Sales"/>
        <s v="Total"/>
      </sharedItems>
    </cacheField>
    <cacheField name="Jan" numFmtId="0">
      <sharedItems containsString="0" containsBlank="1" containsNumber="1" containsInteger="1" minValue="1522" maxValue="10178"/>
    </cacheField>
    <cacheField name="Feb" numFmtId="0">
      <sharedItems containsString="0" containsBlank="1" containsNumber="1" containsInteger="1" minValue="1984" maxValue="14387"/>
    </cacheField>
    <cacheField name="Mar" numFmtId="0">
      <sharedItems containsString="0" containsBlank="1" containsNumber="1" containsInteger="1" minValue="2277" maxValue="90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'neil" refreshedDate="43893.5351099537" backgroundQuery="1" createdVersion="6" refreshedVersion="6" minRefreshableVersion="3" recordCount="0" supportSubquery="1" supportAdvancedDrill="1" xr:uid="{BD4B6E79-8856-45B0-B3D5-BB25CB748947}">
  <cacheSource type="external" connectionId="2"/>
  <cacheFields count="4">
    <cacheField name="[Measures].[Sum of Jan]" caption="Sum of Jan" numFmtId="0" hierarchy="6" level="32767"/>
    <cacheField name="[Measures].[Sum of Feb]" caption="Sum of Feb" numFmtId="0" hierarchy="7" level="32767"/>
    <cacheField name="[Measures].[Sum of Mar]" caption="Sum of Mar" numFmtId="0" hierarchy="8" level="32767"/>
    <cacheField name="[Range].[Month].[Month]" caption="Month" numFmtId="0" level="1">
      <sharedItems count="5">
        <s v="Equity"/>
        <s v="Loans"/>
        <s v="Other grants"/>
        <s v="Sales"/>
        <s v="Total"/>
      </sharedItems>
    </cacheField>
  </cacheFields>
  <cacheHierarchies count="9">
    <cacheHierarchy uniqueName="[Range].[Month]" caption="Month" attribute="1" defaultMemberUniqueName="[Range].[Month].[All]" allUniqueName="[Range].[Month].[All]" dimensionUniqueName="[Range]" displayFolder="" count="2" memberValueDatatype="130" unbalanced="0">
      <fieldsUsage count="2">
        <fieldUsage x="-1"/>
        <fieldUsage x="3"/>
      </fieldsUsage>
    </cacheHierarchy>
    <cacheHierarchy uniqueName="[Range].[Jan]" caption="Jan" attribute="1" defaultMemberUniqueName="[Range].[Jan].[All]" allUniqueName="[Range].[Jan].[All]" dimensionUniqueName="[Range]" displayFolder="" count="0" memberValueDatatype="20" unbalanced="0"/>
    <cacheHierarchy uniqueName="[Range].[Feb]" caption="Feb" attribute="1" defaultMemberUniqueName="[Range].[Feb].[All]" allUniqueName="[Range].[Feb].[All]" dimensionUniqueName="[Range]" displayFolder="" count="0" memberValueDatatype="20" unbalanced="0"/>
    <cacheHierarchy uniqueName="[Range].[Mar]" caption="Mar" attribute="1" defaultMemberUniqueName="[Range].[Mar].[All]" allUniqueName="[Range].[Mar].[All]" dimensionUniqueName="[Range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Jan]" caption="Sum of Jan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eb]" caption="Sum of Feb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Mar]" caption="Sum of Mar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'neil" refreshedDate="43893.541062037039" createdVersion="6" refreshedVersion="6" minRefreshableVersion="3" recordCount="6" xr:uid="{6207C65E-5124-41F7-8442-8723E1F3A645}">
  <cacheSource type="worksheet">
    <worksheetSource name="Table2"/>
  </cacheSource>
  <cacheFields count="4">
    <cacheField name="Month" numFmtId="0">
      <sharedItems count="6">
        <s v="Income ($) in Million"/>
        <s v="Equity"/>
        <s v="Loans"/>
        <s v="Other grants"/>
        <s v="Sales"/>
        <s v="Total"/>
      </sharedItems>
    </cacheField>
    <cacheField name="Apr" numFmtId="0">
      <sharedItems containsString="0" containsBlank="1" containsNumber="1" containsInteger="1" minValue="2430" maxValue="14520"/>
    </cacheField>
    <cacheField name="May" numFmtId="0">
      <sharedItems containsString="0" containsBlank="1" containsNumber="1" containsInteger="1" minValue="1833" maxValue="11404"/>
    </cacheField>
    <cacheField name="Jun" numFmtId="0">
      <sharedItems containsString="0" containsBlank="1" containsNumber="1" containsInteger="1" minValue="2144" maxValue="11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m/>
    <m/>
    <m/>
  </r>
  <r>
    <x v="1"/>
    <n v="1522"/>
    <n v="1984"/>
    <n v="2277"/>
  </r>
  <r>
    <x v="2"/>
    <n v="1788"/>
    <n v="2669"/>
    <n v="3637"/>
  </r>
  <r>
    <x v="3"/>
    <n v="1663"/>
    <n v="3022"/>
    <n v="3183"/>
  </r>
  <r>
    <x v="4"/>
    <n v="5205"/>
    <n v="6712"/>
    <n v="3788"/>
  </r>
  <r>
    <x v="5"/>
    <n v="10178"/>
    <n v="14387"/>
    <n v="90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m/>
    <m/>
    <m/>
  </r>
  <r>
    <x v="1"/>
    <n v="4432"/>
    <n v="1833"/>
    <n v="3144"/>
  </r>
  <r>
    <x v="2"/>
    <n v="2430"/>
    <n v="3142"/>
    <n v="2144"/>
  </r>
  <r>
    <x v="3"/>
    <n v="2491"/>
    <n v="1862"/>
    <n v="3234"/>
  </r>
  <r>
    <x v="4"/>
    <n v="5167"/>
    <n v="4567"/>
    <n v="2777"/>
  </r>
  <r>
    <x v="5"/>
    <n v="14520"/>
    <n v="11404"/>
    <n v="112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ACB23-7E8C-4E28-89FA-19920F782B97}" name="PivotTable1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55:J62" firstHeaderRow="0" firstDataRow="1" firstDataCol="1"/>
  <pivotFields count="4">
    <pivotField axis="axisRow" showAll="0">
      <items count="7">
        <item x="1"/>
        <item x="0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pr" fld="1" baseField="0" baseItem="0"/>
    <dataField name="Sum of May" fld="2" baseField="0" baseItem="0"/>
    <dataField name="Sum of Jun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06ED2-F52A-4702-A2FC-4B1271E2BB2D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5:E62" firstHeaderRow="0" firstDataRow="1" firstDataCol="1"/>
  <pivotFields count="4">
    <pivotField axis="axisRow" showAll="0">
      <items count="7">
        <item x="1"/>
        <item x="0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an" fld="1" baseField="0" baseItem="0"/>
    <dataField name="Sum of Feb" fld="2" baseField="0" baseItem="0"/>
    <dataField name="Sum of Mar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CC3160-09F0-4750-A740-D97680B06CA7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10" firstHeaderRow="0" firstDataRow="1" firstDataCol="1"/>
  <pivotFields count="4">
    <pivotField axis="axisRow" showAll="0">
      <items count="7">
        <item x="1"/>
        <item x="0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an" fld="1" baseField="0" baseItem="0"/>
    <dataField name="Sum of Feb" fld="2" baseField="0" baseItem="0"/>
    <dataField name="Sum of Mar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5AFE-D84F-4275-8241-AC490141FA08}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9" firstHeaderRow="0" firstDataRow="1" firstDataCol="1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an" fld="0" baseField="0" baseItem="0"/>
    <dataField name="Sum of Feb" fld="1" baseField="0" baseItem="0"/>
    <dataField name="Sum of Mar" fld="2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B$47:$E$53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9D7883B-ED90-4611-8752-2B2044947D2C}" autoFormatId="16" applyNumberFormats="0" applyBorderFormats="0" applyFontFormats="0" applyPatternFormats="0" applyAlignmentFormats="0" applyWidthHeightFormats="0">
  <queryTableRefresh nextId="22">
    <queryTableFields count="21">
      <queryTableField id="1" name="UserID" tableColumnId="1"/>
      <queryTableField id="2" name="UserName" tableColumnId="2"/>
      <queryTableField id="3" name="UserPWD" tableColumnId="3"/>
      <queryTableField id="4" name="UserFullName" tableColumnId="4"/>
      <queryTableField id="5" name="UserEMailID" tableColumnId="5"/>
      <queryTableField id="6" name="DomainID" tableColumnId="6"/>
      <queryTableField id="7" name="LastPWDAgingDate" tableColumnId="7"/>
      <queryTableField id="8" name="AccountStatus" tableColumnId="8"/>
      <queryTableField id="9" name="DisableUpToDate" tableColumnId="9"/>
      <queryTableField id="10" name="DisableReason" tableColumnId="10"/>
      <queryTableField id="11" name="LastLoginTime" tableColumnId="11"/>
      <queryTableField id="12" name="LastLogoutTime" tableColumnId="12"/>
      <queryTableField id="13" name="Deleted" tableColumnId="13"/>
      <queryTableField id="14" name="LockoutTime" tableColumnId="14"/>
      <queryTableField id="15" name="CreatedBy" tableColumnId="15"/>
      <queryTableField id="16" name="CreatedOn" tableColumnId="16"/>
      <queryTableField id="17" name="LastModifiedBy" tableColumnId="17"/>
      <queryTableField id="18" name="LastModifiedOn" tableColumnId="18"/>
      <queryTableField id="19" name="MAXFAILUREATTEMPT" tableColumnId="19"/>
      <queryTableField id="20" name="DISABLEPERIODFORFAILURE" tableColumnId="20"/>
      <queryTableField id="21" name="AGINGPERIOD" tableColumnId="2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AC0EFD-CFEA-4FF1-90DB-A9E59E8DEFC2}" name="Table2" displayName="Table2" ref="G47:J53" totalsRowShown="0" headerRowCellStyle="Normal" dataCellStyle="Normal">
  <autoFilter ref="G47:J53" xr:uid="{8C5E6AB2-A907-48C4-BE91-7A765263960B}"/>
  <tableColumns count="4">
    <tableColumn id="1" xr3:uid="{E3403F19-6246-4732-AD7F-AB9FB5081B96}" name="Month" dataCellStyle="Normal"/>
    <tableColumn id="2" xr3:uid="{123731BE-E8EC-4B27-882F-19FF23B2D3DB}" name="Apr" dataCellStyle="Normal"/>
    <tableColumn id="3" xr3:uid="{AA87769A-7BD4-4188-8E70-702F48CDD075}" name="May" dataCellStyle="Normal"/>
    <tableColumn id="4" xr3:uid="{34CBC3C4-07DA-4BCC-A5DA-48D1C629B0A4}" name="Jun" dataCellStyle="Norm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DE4561-BB64-4FD0-97BA-2679E99109F9}" name="UserMaster" displayName="UserMaster" ref="B67:V106" tableType="queryTable" totalsRowShown="0">
  <autoFilter ref="B67:V106" xr:uid="{DB46D67A-3105-4A6E-901B-D243A3F83AD0}"/>
  <tableColumns count="21">
    <tableColumn id="1" xr3:uid="{44EE4F82-6A55-47BE-BEDD-989DCDAD37AD}" uniqueName="1" name="UserID" queryTableFieldId="1"/>
    <tableColumn id="2" xr3:uid="{4D2193A9-FABC-4F06-83B7-73A80D1C3FD7}" uniqueName="2" name="UserName" queryTableFieldId="2" dataDxfId="12"/>
    <tableColumn id="3" xr3:uid="{B903478F-9B12-41EF-8138-75350017D4FB}" uniqueName="3" name="UserPWD" queryTableFieldId="3" dataDxfId="11"/>
    <tableColumn id="4" xr3:uid="{AE384343-C233-4819-94BD-706FBA521CE4}" uniqueName="4" name="UserFullName" queryTableFieldId="4" dataDxfId="10"/>
    <tableColumn id="5" xr3:uid="{59153227-6241-4C90-87F9-34AEB465390F}" uniqueName="5" name="UserEMailID" queryTableFieldId="5" dataDxfId="9"/>
    <tableColumn id="6" xr3:uid="{FE49E293-D5A6-49CE-9544-96C2A7B5A894}" uniqueName="6" name="DomainID" queryTableFieldId="6"/>
    <tableColumn id="7" xr3:uid="{D4040F23-0F45-43E6-A368-3C492B2CB6D5}" uniqueName="7" name="LastPWDAgingDate" queryTableFieldId="7" dataDxfId="8"/>
    <tableColumn id="8" xr3:uid="{4F10E41A-9155-4492-8178-C68331175C39}" uniqueName="8" name="AccountStatus" queryTableFieldId="8" dataDxfId="7"/>
    <tableColumn id="9" xr3:uid="{209C73BD-4668-4CCE-9C85-F94FE7C87BE0}" uniqueName="9" name="DisableUpToDate" queryTableFieldId="9" dataDxfId="6"/>
    <tableColumn id="10" xr3:uid="{AE27657B-D433-49C0-A5AA-E1587C1168D7}" uniqueName="10" name="DisableReason" queryTableFieldId="10" dataDxfId="5"/>
    <tableColumn id="11" xr3:uid="{468048CD-7F02-4541-B8D0-B253ACE53B02}" uniqueName="11" name="LastLoginTime" queryTableFieldId="11" dataDxfId="4"/>
    <tableColumn id="12" xr3:uid="{99803958-A0AE-4426-B42D-47B1296CC0C0}" uniqueName="12" name="LastLogoutTime" queryTableFieldId="12" dataDxfId="3"/>
    <tableColumn id="13" xr3:uid="{9C7CF53D-673A-439A-A74B-22AEE69644ED}" uniqueName="13" name="Deleted" queryTableFieldId="13" dataDxfId="2"/>
    <tableColumn id="14" xr3:uid="{0CC47631-6C13-41AC-BA52-AB26CAD37E27}" uniqueName="14" name="LockoutTime" queryTableFieldId="14"/>
    <tableColumn id="15" xr3:uid="{F5072078-F4E6-4115-B658-621C796B31F2}" uniqueName="15" name="CreatedBy" queryTableFieldId="15"/>
    <tableColumn id="16" xr3:uid="{1446C381-0BD8-4DF1-BCB8-46C2DD3A0705}" uniqueName="16" name="CreatedOn" queryTableFieldId="16" dataDxfId="1"/>
    <tableColumn id="17" xr3:uid="{0333B633-3BFE-4827-B24A-94FD47697856}" uniqueName="17" name="LastModifiedBy" queryTableFieldId="17"/>
    <tableColumn id="18" xr3:uid="{10E494F9-3549-43DE-88DB-58078C5778E8}" uniqueName="18" name="LastModifiedOn" queryTableFieldId="18" dataDxfId="0"/>
    <tableColumn id="19" xr3:uid="{719FD436-5F16-4166-9303-8680F29CA749}" uniqueName="19" name="MAXFAILUREATTEMPT" queryTableFieldId="19"/>
    <tableColumn id="20" xr3:uid="{2C9DA147-BE33-4F78-860C-AA7E73D905AF}" uniqueName="20" name="DISABLEPERIODFORFAILURE" queryTableFieldId="20"/>
    <tableColumn id="21" xr3:uid="{48728722-728C-4E40-8CA7-5FEDF1C4E682}" uniqueName="21" name="AGINGPERIOD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8683-C82D-4297-9516-57060C5A7A75}">
  <sheetPr codeName="Sheet1"/>
  <dimension ref="A1:V106"/>
  <sheetViews>
    <sheetView workbookViewId="0">
      <selection activeCell="I23" sqref="I23"/>
    </sheetView>
  </sheetViews>
  <sheetFormatPr defaultRowHeight="15" x14ac:dyDescent="0.25"/>
  <cols>
    <col min="1" max="1" width="12.140625" bestFit="1" customWidth="1"/>
    <col min="2" max="2" width="19.28515625" customWidth="1"/>
    <col min="3" max="3" width="9.7109375" customWidth="1"/>
    <col min="4" max="4" width="9.42578125" customWidth="1"/>
    <col min="5" max="5" width="10.42578125" bestFit="1" customWidth="1"/>
    <col min="6" max="6" width="14.5703125" bestFit="1" customWidth="1"/>
    <col min="7" max="7" width="12.42578125" bestFit="1" customWidth="1"/>
    <col min="8" max="8" width="14.85546875" bestFit="1" customWidth="1"/>
    <col min="9" max="9" width="17.28515625" bestFit="1" customWidth="1"/>
    <col min="10" max="10" width="17.7109375" bestFit="1" customWidth="1"/>
    <col min="11" max="11" width="23.42578125" bestFit="1" customWidth="1"/>
    <col min="12" max="12" width="28.42578125" bestFit="1" customWidth="1"/>
    <col min="13" max="13" width="16.140625" bestFit="1" customWidth="1"/>
    <col min="15" max="15" width="0" hidden="1" customWidth="1"/>
    <col min="23" max="25" width="0" hidden="1" customWidth="1"/>
  </cols>
  <sheetData>
    <row r="1" spans="1:17" x14ac:dyDescent="0.25">
      <c r="A1" t="s">
        <v>4</v>
      </c>
      <c r="B1" t="s">
        <v>5</v>
      </c>
      <c r="C1" t="s">
        <v>6</v>
      </c>
      <c r="D1">
        <f>'[1]Financial Statement'!$D$16</f>
        <v>234500</v>
      </c>
      <c r="E1">
        <v>101</v>
      </c>
      <c r="F1">
        <v>102</v>
      </c>
      <c r="G1">
        <v>103</v>
      </c>
      <c r="H1">
        <v>104</v>
      </c>
      <c r="I1" s="5">
        <v>10</v>
      </c>
      <c r="J1" s="5">
        <v>10</v>
      </c>
      <c r="K1" s="8">
        <v>10</v>
      </c>
      <c r="L1">
        <f>SUM(E1:G1)</f>
        <v>306</v>
      </c>
      <c r="N1">
        <v>10</v>
      </c>
      <c r="O1">
        <v>30</v>
      </c>
      <c r="P1">
        <v>100</v>
      </c>
      <c r="Q1">
        <f>MAX(N1:P1)</f>
        <v>100</v>
      </c>
    </row>
    <row r="2" spans="1:17" x14ac:dyDescent="0.25">
      <c r="A2" t="s">
        <v>0</v>
      </c>
      <c r="B2">
        <v>245</v>
      </c>
      <c r="C2">
        <v>12</v>
      </c>
      <c r="E2">
        <v>102</v>
      </c>
      <c r="F2">
        <v>103</v>
      </c>
      <c r="G2">
        <v>104</v>
      </c>
      <c r="H2">
        <v>105</v>
      </c>
      <c r="I2" s="5">
        <v>56</v>
      </c>
      <c r="J2" s="7">
        <v>56</v>
      </c>
      <c r="K2" s="5">
        <v>56</v>
      </c>
      <c r="L2">
        <f>AVERAGE(E2:G2)</f>
        <v>103</v>
      </c>
    </row>
    <row r="3" spans="1:17" x14ac:dyDescent="0.25">
      <c r="A3" t="s">
        <v>1</v>
      </c>
      <c r="B3">
        <v>200</v>
      </c>
      <c r="C3">
        <v>2</v>
      </c>
      <c r="E3">
        <v>103</v>
      </c>
      <c r="F3">
        <v>104</v>
      </c>
      <c r="G3">
        <v>105</v>
      </c>
      <c r="H3">
        <v>106</v>
      </c>
      <c r="I3" s="6">
        <v>70</v>
      </c>
      <c r="J3" s="7">
        <v>70</v>
      </c>
      <c r="K3" s="8">
        <v>70</v>
      </c>
      <c r="L3">
        <f>SUM(E3:G3)</f>
        <v>312</v>
      </c>
    </row>
    <row r="4" spans="1:17" x14ac:dyDescent="0.25">
      <c r="A4" t="s">
        <v>2</v>
      </c>
      <c r="B4">
        <v>200</v>
      </c>
      <c r="C4">
        <v>400</v>
      </c>
      <c r="E4" s="4">
        <f>SUM(E1:E3)</f>
        <v>306</v>
      </c>
      <c r="F4" s="4">
        <f>SUM(F1:F3)</f>
        <v>309</v>
      </c>
      <c r="G4" s="4">
        <f>SUM(G1:G3)</f>
        <v>312</v>
      </c>
      <c r="H4" s="4">
        <f>-SUM(H1:H3)</f>
        <v>-315</v>
      </c>
      <c r="I4" s="5">
        <f>SUM(I1:I3)</f>
        <v>136</v>
      </c>
      <c r="J4" s="5">
        <f t="shared" ref="J4:K4" si="0">SUM(J1:J3)</f>
        <v>136</v>
      </c>
      <c r="K4" s="5">
        <f t="shared" si="0"/>
        <v>136</v>
      </c>
    </row>
    <row r="5" spans="1:17" x14ac:dyDescent="0.25">
      <c r="A5" t="s">
        <v>3</v>
      </c>
      <c r="B5">
        <v>198</v>
      </c>
      <c r="C5">
        <v>2</v>
      </c>
    </row>
    <row r="6" spans="1:17" x14ac:dyDescent="0.25">
      <c r="A6" t="s">
        <v>1</v>
      </c>
      <c r="B6">
        <v>290</v>
      </c>
      <c r="C6">
        <v>33</v>
      </c>
      <c r="E6">
        <f>AVERAGE(NAMEITEM)</f>
        <v>154.5</v>
      </c>
      <c r="G6">
        <f>SUM(E4:G4,Sheet2!A1)</f>
        <v>9927</v>
      </c>
      <c r="I6">
        <v>78</v>
      </c>
      <c r="J6">
        <v>1</v>
      </c>
    </row>
    <row r="7" spans="1:17" x14ac:dyDescent="0.25">
      <c r="A7" t="s">
        <v>3</v>
      </c>
      <c r="B7">
        <v>150</v>
      </c>
      <c r="C7">
        <v>42</v>
      </c>
      <c r="H7">
        <f>AVERAGE(Sheet1!B2:B9)</f>
        <v>243.5</v>
      </c>
      <c r="I7">
        <v>5</v>
      </c>
      <c r="J7">
        <v>2</v>
      </c>
    </row>
    <row r="8" spans="1:17" x14ac:dyDescent="0.25">
      <c r="A8" t="s">
        <v>0</v>
      </c>
      <c r="B8">
        <v>210</v>
      </c>
      <c r="C8">
        <v>11</v>
      </c>
      <c r="E8" s="1">
        <v>42278</v>
      </c>
      <c r="G8" t="str">
        <f>IF(B4&gt;100,IF(G4&gt;200,IF(H4&gt;10,"XLA","Inquire")))</f>
        <v>Inquire</v>
      </c>
      <c r="I8">
        <v>1</v>
      </c>
      <c r="J8">
        <v>3</v>
      </c>
    </row>
    <row r="9" spans="1:17" x14ac:dyDescent="0.25">
      <c r="A9" t="s">
        <v>0</v>
      </c>
      <c r="B9">
        <f t="array" ref="B9">SUM(IF($A$1:$A$8=A9,$B$1:$B$8,0))</f>
        <v>455</v>
      </c>
      <c r="C9">
        <v>22</v>
      </c>
      <c r="I9">
        <f ca="1">SUM(I6:I9)</f>
        <v>0</v>
      </c>
      <c r="J9">
        <f ca="1">SUM(J6:J9)</f>
        <v>0</v>
      </c>
    </row>
    <row r="10" spans="1:17" x14ac:dyDescent="0.25">
      <c r="E10" s="1">
        <f>SUM(E8+30)</f>
        <v>42308</v>
      </c>
      <c r="G10">
        <f>SUM(E4:H4)+MAX(B2:B9)+MIN(E1:H3)</f>
        <v>1168</v>
      </c>
    </row>
    <row r="11" spans="1:17" x14ac:dyDescent="0.25">
      <c r="A11" s="2">
        <f>10.5/90.5</f>
        <v>0.11602209944751381</v>
      </c>
      <c r="B11" s="34">
        <v>10</v>
      </c>
      <c r="I11" s="9">
        <f>NPV(105,8, , , )</f>
        <v>7.5471698113207544E-2</v>
      </c>
      <c r="J11" s="9">
        <f>NPV(1,8, , , )</f>
        <v>4</v>
      </c>
    </row>
    <row r="12" spans="1:17" x14ac:dyDescent="0.25">
      <c r="A12" s="2">
        <f>99.99/858.7896</f>
        <v>0.1164313121630723</v>
      </c>
      <c r="B12" s="34"/>
      <c r="D12" s="34">
        <v>99.5</v>
      </c>
      <c r="E12" s="34"/>
      <c r="F12" s="3">
        <v>88</v>
      </c>
      <c r="G12">
        <v>10</v>
      </c>
      <c r="I12" s="9">
        <f>NPV(10,8, , , )</f>
        <v>0.72727272727272729</v>
      </c>
      <c r="J12" s="9">
        <f>NPV(5,77, , , )</f>
        <v>12.833333333333334</v>
      </c>
    </row>
    <row r="13" spans="1:17" x14ac:dyDescent="0.25">
      <c r="A13">
        <v>1000000</v>
      </c>
      <c r="C13" t="e">
        <f>C10:D11</f>
        <v>#VALUE!</v>
      </c>
      <c r="D13" s="34"/>
      <c r="E13" s="34"/>
      <c r="F13" s="3">
        <v>87</v>
      </c>
      <c r="G13">
        <f>G10+G11+G12</f>
        <v>1178</v>
      </c>
    </row>
    <row r="14" spans="1:17" x14ac:dyDescent="0.25">
      <c r="A14">
        <v>-1000000</v>
      </c>
      <c r="C14" t="e">
        <f>1/0</f>
        <v>#DIV/0!</v>
      </c>
      <c r="D14" s="34"/>
      <c r="E14" s="34"/>
      <c r="F14" s="3">
        <v>4568</v>
      </c>
      <c r="G14">
        <f>SUM(G10:G13)</f>
        <v>2356</v>
      </c>
    </row>
    <row r="15" spans="1:17" x14ac:dyDescent="0.25">
      <c r="A15">
        <v>999999</v>
      </c>
      <c r="C15" t="e">
        <f ca="1">SUM1(1)</f>
        <v>#REF!</v>
      </c>
    </row>
    <row r="16" spans="1:17" x14ac:dyDescent="0.25">
      <c r="C16" t="e">
        <f>SUM(AN+4)</f>
        <v>#NAME?</v>
      </c>
    </row>
    <row r="17" spans="1:11" x14ac:dyDescent="0.25">
      <c r="C17" t="e">
        <f>VLOOKUP(10,B2:C9,A2:A9,TRUE)</f>
        <v>#VALUE!</v>
      </c>
      <c r="D17" s="3">
        <f>SUM(45+99)</f>
        <v>144</v>
      </c>
      <c r="E17" s="3">
        <f>SUM(455+99)</f>
        <v>554</v>
      </c>
      <c r="F17" s="3">
        <f>MIN(D17:E17)</f>
        <v>144</v>
      </c>
      <c r="H17" s="14" t="s">
        <v>24</v>
      </c>
    </row>
    <row r="18" spans="1:11" x14ac:dyDescent="0.25">
      <c r="C18" t="e">
        <f>SUM(C5 C9)</f>
        <v>#NULL!</v>
      </c>
      <c r="H18" s="16" t="s">
        <v>21</v>
      </c>
    </row>
    <row r="19" spans="1:11" x14ac:dyDescent="0.25">
      <c r="C19" t="e">
        <f>SQRT(-2)</f>
        <v>#NUM!</v>
      </c>
      <c r="H19" s="15" t="s">
        <v>25</v>
      </c>
    </row>
    <row r="20" spans="1:11" x14ac:dyDescent="0.25">
      <c r="A20">
        <v>87</v>
      </c>
      <c r="H20" s="15"/>
    </row>
    <row r="21" spans="1:11" ht="15" hidden="1" customHeight="1" x14ac:dyDescent="0.25">
      <c r="A21">
        <v>65</v>
      </c>
      <c r="H21" s="15"/>
    </row>
    <row r="22" spans="1:11" x14ac:dyDescent="0.25">
      <c r="A22">
        <v>455</v>
      </c>
      <c r="H22" s="15"/>
    </row>
    <row r="23" spans="1:11" x14ac:dyDescent="0.25">
      <c r="A23">
        <f>SUM(A20:A22)</f>
        <v>607</v>
      </c>
      <c r="E23" s="10">
        <v>78000</v>
      </c>
    </row>
    <row r="24" spans="1:11" x14ac:dyDescent="0.25">
      <c r="B24" s="12" t="s">
        <v>20</v>
      </c>
      <c r="E24" s="10">
        <v>500</v>
      </c>
    </row>
    <row r="25" spans="1:11" x14ac:dyDescent="0.25">
      <c r="A25" t="str">
        <f>IF(B2&gt;100,"SSN","Credit Card")</f>
        <v>SSN</v>
      </c>
      <c r="B25" s="12" t="s">
        <v>21</v>
      </c>
      <c r="E25" s="10">
        <v>9</v>
      </c>
    </row>
    <row r="26" spans="1:11" ht="30" x14ac:dyDescent="0.25">
      <c r="A26" t="str">
        <f>IF(B3&lt;100,"SSN","Credit Card")</f>
        <v>Credit Card</v>
      </c>
      <c r="B26" s="13" t="s">
        <v>22</v>
      </c>
      <c r="H26" s="11" t="s">
        <v>7</v>
      </c>
      <c r="I26" s="11" t="s">
        <v>8</v>
      </c>
      <c r="J26" s="11" t="s">
        <v>9</v>
      </c>
      <c r="K26" s="11" t="s">
        <v>19</v>
      </c>
    </row>
    <row r="27" spans="1:11" x14ac:dyDescent="0.25">
      <c r="A27">
        <v>9309</v>
      </c>
      <c r="C27" t="s">
        <v>23</v>
      </c>
      <c r="H27" t="s">
        <v>10</v>
      </c>
      <c r="I27">
        <v>100</v>
      </c>
      <c r="J27">
        <v>90</v>
      </c>
      <c r="K27">
        <f>J27*100/I27</f>
        <v>90</v>
      </c>
    </row>
    <row r="28" spans="1:11" x14ac:dyDescent="0.25">
      <c r="A28">
        <v>259</v>
      </c>
      <c r="C28" s="12" t="s">
        <v>21</v>
      </c>
      <c r="H28" t="s">
        <v>11</v>
      </c>
      <c r="I28">
        <v>100</v>
      </c>
      <c r="J28">
        <v>70</v>
      </c>
      <c r="K28" s="2">
        <f t="shared" ref="K28:K33" si="1">J28*100/I28</f>
        <v>70</v>
      </c>
    </row>
    <row r="29" spans="1:11" x14ac:dyDescent="0.25">
      <c r="A29">
        <v>4</v>
      </c>
      <c r="H29" t="s">
        <v>12</v>
      </c>
      <c r="I29">
        <v>100</v>
      </c>
      <c r="J29">
        <v>65</v>
      </c>
      <c r="K29" s="2">
        <f t="shared" si="1"/>
        <v>65</v>
      </c>
    </row>
    <row r="30" spans="1:11" x14ac:dyDescent="0.25">
      <c r="H30" t="s">
        <v>13</v>
      </c>
      <c r="I30">
        <v>100</v>
      </c>
      <c r="J30">
        <v>75</v>
      </c>
      <c r="K30" s="2">
        <f t="shared" si="1"/>
        <v>75</v>
      </c>
    </row>
    <row r="31" spans="1:11" x14ac:dyDescent="0.25">
      <c r="H31" t="s">
        <v>14</v>
      </c>
      <c r="I31">
        <v>100</v>
      </c>
      <c r="J31">
        <v>85</v>
      </c>
      <c r="K31" s="2">
        <f t="shared" si="1"/>
        <v>85</v>
      </c>
    </row>
    <row r="32" spans="1:11" x14ac:dyDescent="0.25">
      <c r="H32" t="s">
        <v>15</v>
      </c>
      <c r="I32">
        <v>100</v>
      </c>
      <c r="J32">
        <v>80</v>
      </c>
      <c r="K32" s="2">
        <f t="shared" si="1"/>
        <v>80</v>
      </c>
    </row>
    <row r="33" spans="2:20" x14ac:dyDescent="0.25">
      <c r="H33" t="s">
        <v>16</v>
      </c>
      <c r="I33">
        <v>100</v>
      </c>
      <c r="J33">
        <v>87</v>
      </c>
      <c r="K33">
        <f t="shared" si="1"/>
        <v>87</v>
      </c>
    </row>
    <row r="34" spans="2:20" x14ac:dyDescent="0.25">
      <c r="H34" s="11" t="s">
        <v>17</v>
      </c>
      <c r="J34">
        <f>SUM(J27:J33)</f>
        <v>552</v>
      </c>
      <c r="K34" s="2">
        <f>SUM(K27:K33)</f>
        <v>552</v>
      </c>
    </row>
    <row r="35" spans="2:20" x14ac:dyDescent="0.25">
      <c r="H35" s="11" t="s">
        <v>18</v>
      </c>
      <c r="I35">
        <f>SUM(I27:I34)</f>
        <v>700</v>
      </c>
      <c r="J35">
        <v>552</v>
      </c>
      <c r="K35" s="2">
        <f>J35*100/I35</f>
        <v>78.857142857142861</v>
      </c>
    </row>
    <row r="45" spans="2:20" ht="15.75" thickBot="1" x14ac:dyDescent="0.3"/>
    <row r="46" spans="2:20" ht="15" customHeight="1" x14ac:dyDescent="0.25">
      <c r="B46" s="31" t="s">
        <v>26</v>
      </c>
      <c r="C46" s="31"/>
      <c r="D46" s="31"/>
      <c r="E46" s="31"/>
      <c r="F46" s="17"/>
      <c r="G46" s="32" t="s">
        <v>27</v>
      </c>
      <c r="H46" s="32"/>
      <c r="I46" s="32"/>
      <c r="J46" s="33"/>
      <c r="M46" s="22"/>
      <c r="N46" s="22"/>
      <c r="Q46" s="22" t="s">
        <v>28</v>
      </c>
      <c r="R46" s="22"/>
      <c r="S46" s="22"/>
    </row>
    <row r="47" spans="2:20" x14ac:dyDescent="0.25">
      <c r="B47" s="11" t="s">
        <v>29</v>
      </c>
      <c r="C47" s="11" t="s">
        <v>30</v>
      </c>
      <c r="D47" s="11" t="s">
        <v>31</v>
      </c>
      <c r="E47" s="11" t="s">
        <v>32</v>
      </c>
      <c r="G47" t="s">
        <v>29</v>
      </c>
      <c r="H47" t="s">
        <v>33</v>
      </c>
      <c r="I47" t="s">
        <v>34</v>
      </c>
      <c r="J47" t="s">
        <v>35</v>
      </c>
      <c r="M47" s="23" t="s">
        <v>36</v>
      </c>
      <c r="N47" s="23" t="s">
        <v>37</v>
      </c>
      <c r="Q47" s="23" t="s">
        <v>38</v>
      </c>
      <c r="R47" s="23" t="s">
        <v>39</v>
      </c>
      <c r="S47" s="23" t="s">
        <v>40</v>
      </c>
      <c r="T47" s="26" t="s">
        <v>41</v>
      </c>
    </row>
    <row r="48" spans="2:20" ht="30" x14ac:dyDescent="0.25">
      <c r="B48" s="29" t="s">
        <v>42</v>
      </c>
      <c r="G48" t="s">
        <v>42</v>
      </c>
      <c r="M48" s="18"/>
      <c r="N48" s="18"/>
      <c r="Q48" s="18"/>
      <c r="R48" s="18"/>
      <c r="S48" s="18"/>
      <c r="T48" s="24"/>
    </row>
    <row r="49" spans="2:20" ht="15.75" x14ac:dyDescent="0.3">
      <c r="B49" s="11" t="s">
        <v>43</v>
      </c>
      <c r="C49">
        <v>1522</v>
      </c>
      <c r="D49">
        <v>1984</v>
      </c>
      <c r="E49">
        <v>2277</v>
      </c>
      <c r="G49" t="s">
        <v>43</v>
      </c>
      <c r="H49">
        <v>4432</v>
      </c>
      <c r="I49">
        <v>1833</v>
      </c>
      <c r="J49">
        <v>3144</v>
      </c>
      <c r="M49" s="19">
        <v>4438</v>
      </c>
      <c r="N49" s="19">
        <v>2861</v>
      </c>
      <c r="Q49" s="19">
        <v>3641</v>
      </c>
      <c r="R49" s="19">
        <v>2901</v>
      </c>
      <c r="S49" s="19">
        <v>4043</v>
      </c>
      <c r="T49" s="25">
        <v>35344</v>
      </c>
    </row>
    <row r="50" spans="2:20" ht="15.75" x14ac:dyDescent="0.3">
      <c r="B50" s="11" t="s">
        <v>44</v>
      </c>
      <c r="C50">
        <v>1788</v>
      </c>
      <c r="D50">
        <v>2669</v>
      </c>
      <c r="E50">
        <v>3637</v>
      </c>
      <c r="G50" t="s">
        <v>44</v>
      </c>
      <c r="H50">
        <v>2430</v>
      </c>
      <c r="I50">
        <v>3142</v>
      </c>
      <c r="J50">
        <v>2144</v>
      </c>
      <c r="M50" s="19">
        <v>4036</v>
      </c>
      <c r="N50" s="19">
        <v>2767</v>
      </c>
      <c r="Q50" s="19">
        <v>1709</v>
      </c>
      <c r="R50" s="19">
        <v>3026</v>
      </c>
      <c r="S50" s="19">
        <v>2516</v>
      </c>
      <c r="T50" s="25">
        <v>33268</v>
      </c>
    </row>
    <row r="51" spans="2:20" ht="15.75" x14ac:dyDescent="0.3">
      <c r="B51" s="11" t="s">
        <v>45</v>
      </c>
      <c r="C51">
        <v>1663</v>
      </c>
      <c r="D51">
        <v>3022</v>
      </c>
      <c r="E51">
        <v>3183</v>
      </c>
      <c r="G51" t="s">
        <v>45</v>
      </c>
      <c r="H51">
        <v>2491</v>
      </c>
      <c r="I51">
        <v>1862</v>
      </c>
      <c r="J51">
        <v>3234</v>
      </c>
      <c r="M51" s="19">
        <v>2202</v>
      </c>
      <c r="N51" s="19">
        <v>3223</v>
      </c>
      <c r="Q51" s="20">
        <v>1909</v>
      </c>
      <c r="R51" s="19">
        <v>2322</v>
      </c>
      <c r="S51" s="19">
        <v>2419</v>
      </c>
      <c r="T51" s="25">
        <v>29272</v>
      </c>
    </row>
    <row r="52" spans="2:20" ht="15.75" x14ac:dyDescent="0.3">
      <c r="B52" s="11" t="s">
        <v>46</v>
      </c>
      <c r="C52">
        <v>5205</v>
      </c>
      <c r="D52">
        <v>6712</v>
      </c>
      <c r="E52">
        <v>3788</v>
      </c>
      <c r="G52" t="s">
        <v>46</v>
      </c>
      <c r="H52">
        <v>5167</v>
      </c>
      <c r="I52">
        <v>4567</v>
      </c>
      <c r="J52">
        <v>2777</v>
      </c>
      <c r="M52" s="19">
        <v>7000</v>
      </c>
      <c r="N52" s="19">
        <v>2594</v>
      </c>
      <c r="Q52" s="19">
        <v>3900</v>
      </c>
      <c r="R52" s="19">
        <v>6250</v>
      </c>
      <c r="S52" s="19">
        <v>5208</v>
      </c>
      <c r="T52" s="25">
        <v>60168</v>
      </c>
    </row>
    <row r="53" spans="2:20" x14ac:dyDescent="0.25">
      <c r="B53" s="11" t="s">
        <v>17</v>
      </c>
      <c r="C53">
        <v>10178</v>
      </c>
      <c r="D53">
        <v>14387</v>
      </c>
      <c r="E53">
        <v>9097</v>
      </c>
      <c r="G53" t="s">
        <v>17</v>
      </c>
      <c r="H53">
        <v>14520</v>
      </c>
      <c r="I53">
        <v>11404</v>
      </c>
      <c r="J53">
        <v>11299</v>
      </c>
      <c r="M53" s="21">
        <v>17676</v>
      </c>
      <c r="N53" s="21">
        <v>11445</v>
      </c>
      <c r="Q53" s="21">
        <v>11159</v>
      </c>
      <c r="R53" s="21">
        <v>14499</v>
      </c>
      <c r="S53" s="21">
        <v>14186</v>
      </c>
      <c r="T53" s="25">
        <v>154264</v>
      </c>
    </row>
    <row r="55" spans="2:20" x14ac:dyDescent="0.25">
      <c r="B55" s="27" t="s">
        <v>47</v>
      </c>
      <c r="C55" t="s">
        <v>49</v>
      </c>
      <c r="D55" t="s">
        <v>50</v>
      </c>
      <c r="E55" t="s">
        <v>51</v>
      </c>
      <c r="G55" s="27" t="s">
        <v>47</v>
      </c>
      <c r="H55" t="s">
        <v>52</v>
      </c>
      <c r="I55" t="s">
        <v>53</v>
      </c>
      <c r="J55" t="s">
        <v>54</v>
      </c>
    </row>
    <row r="56" spans="2:20" x14ac:dyDescent="0.25">
      <c r="B56" s="28" t="s">
        <v>43</v>
      </c>
      <c r="C56">
        <v>1522</v>
      </c>
      <c r="D56">
        <v>1984</v>
      </c>
      <c r="E56">
        <v>2277</v>
      </c>
      <c r="G56" s="28" t="s">
        <v>43</v>
      </c>
      <c r="H56">
        <v>4432</v>
      </c>
      <c r="I56">
        <v>1833</v>
      </c>
      <c r="J56">
        <v>3144</v>
      </c>
    </row>
    <row r="57" spans="2:20" x14ac:dyDescent="0.25">
      <c r="B57" s="28" t="s">
        <v>42</v>
      </c>
      <c r="G57" s="28" t="s">
        <v>42</v>
      </c>
    </row>
    <row r="58" spans="2:20" x14ac:dyDescent="0.25">
      <c r="B58" s="28" t="s">
        <v>44</v>
      </c>
      <c r="C58">
        <v>1788</v>
      </c>
      <c r="D58">
        <v>2669</v>
      </c>
      <c r="E58">
        <v>3637</v>
      </c>
      <c r="G58" s="28" t="s">
        <v>44</v>
      </c>
      <c r="H58">
        <v>2430</v>
      </c>
      <c r="I58">
        <v>3142</v>
      </c>
      <c r="J58">
        <v>2144</v>
      </c>
    </row>
    <row r="59" spans="2:20" x14ac:dyDescent="0.25">
      <c r="B59" s="28" t="s">
        <v>45</v>
      </c>
      <c r="C59">
        <v>1663</v>
      </c>
      <c r="D59">
        <v>3022</v>
      </c>
      <c r="E59">
        <v>3183</v>
      </c>
      <c r="G59" s="28" t="s">
        <v>45</v>
      </c>
      <c r="H59">
        <v>2491</v>
      </c>
      <c r="I59">
        <v>1862</v>
      </c>
      <c r="J59">
        <v>3234</v>
      </c>
    </row>
    <row r="60" spans="2:20" x14ac:dyDescent="0.25">
      <c r="B60" s="28" t="s">
        <v>46</v>
      </c>
      <c r="C60">
        <v>5205</v>
      </c>
      <c r="D60">
        <v>6712</v>
      </c>
      <c r="E60">
        <v>3788</v>
      </c>
      <c r="G60" s="28" t="s">
        <v>46</v>
      </c>
      <c r="H60">
        <v>5167</v>
      </c>
      <c r="I60">
        <v>4567</v>
      </c>
      <c r="J60">
        <v>2777</v>
      </c>
    </row>
    <row r="61" spans="2:20" x14ac:dyDescent="0.25">
      <c r="B61" s="28" t="s">
        <v>17</v>
      </c>
      <c r="C61">
        <v>10178</v>
      </c>
      <c r="D61">
        <v>14387</v>
      </c>
      <c r="E61">
        <v>9097</v>
      </c>
      <c r="G61" s="28" t="s">
        <v>17</v>
      </c>
      <c r="H61">
        <v>14520</v>
      </c>
      <c r="I61">
        <v>11404</v>
      </c>
      <c r="J61">
        <v>11299</v>
      </c>
    </row>
    <row r="62" spans="2:20" x14ac:dyDescent="0.25">
      <c r="B62" s="28" t="s">
        <v>48</v>
      </c>
      <c r="C62">
        <v>20356</v>
      </c>
      <c r="D62">
        <v>28774</v>
      </c>
      <c r="E62">
        <v>21982</v>
      </c>
      <c r="G62" s="28" t="s">
        <v>48</v>
      </c>
      <c r="H62">
        <v>29040</v>
      </c>
      <c r="I62">
        <v>22808</v>
      </c>
      <c r="J62">
        <v>22598</v>
      </c>
    </row>
    <row r="67" spans="2:22" x14ac:dyDescent="0.25">
      <c r="B67" t="s">
        <v>55</v>
      </c>
      <c r="C67" t="s">
        <v>56</v>
      </c>
      <c r="D67" t="s">
        <v>57</v>
      </c>
      <c r="E67" t="s">
        <v>58</v>
      </c>
      <c r="F67" t="s">
        <v>59</v>
      </c>
      <c r="G67" t="s">
        <v>60</v>
      </c>
      <c r="H67" t="s">
        <v>61</v>
      </c>
      <c r="I67" t="s">
        <v>62</v>
      </c>
      <c r="J67" t="s">
        <v>63</v>
      </c>
      <c r="K67" t="s">
        <v>64</v>
      </c>
      <c r="L67" t="s">
        <v>65</v>
      </c>
      <c r="M67" t="s">
        <v>66</v>
      </c>
      <c r="N67" t="s">
        <v>67</v>
      </c>
      <c r="O67" t="s">
        <v>68</v>
      </c>
      <c r="P67" t="s">
        <v>69</v>
      </c>
      <c r="Q67" t="s">
        <v>70</v>
      </c>
      <c r="R67" t="s">
        <v>71</v>
      </c>
      <c r="S67" t="s">
        <v>72</v>
      </c>
      <c r="T67" t="s">
        <v>73</v>
      </c>
      <c r="U67" t="s">
        <v>74</v>
      </c>
      <c r="V67" t="s">
        <v>75</v>
      </c>
    </row>
    <row r="68" spans="2:22" x14ac:dyDescent="0.25">
      <c r="B68">
        <v>1</v>
      </c>
      <c r="C68" t="s">
        <v>76</v>
      </c>
      <c r="D68" t="s">
        <v>77</v>
      </c>
      <c r="E68" t="s">
        <v>76</v>
      </c>
      <c r="G68">
        <v>1</v>
      </c>
      <c r="H68" s="30">
        <v>43845.567676585648</v>
      </c>
      <c r="I68" t="s">
        <v>78</v>
      </c>
      <c r="J68" s="30"/>
      <c r="L68" s="30"/>
      <c r="M68" s="30"/>
      <c r="N68" t="s">
        <v>79</v>
      </c>
      <c r="O68">
        <v>30</v>
      </c>
      <c r="P68">
        <v>1</v>
      </c>
      <c r="Q68" s="30">
        <v>43875.567676585648</v>
      </c>
      <c r="S68" s="30"/>
    </row>
    <row r="69" spans="2:22" x14ac:dyDescent="0.25">
      <c r="B69">
        <v>2</v>
      </c>
      <c r="C69" t="s">
        <v>80</v>
      </c>
      <c r="D69" t="s">
        <v>81</v>
      </c>
      <c r="E69" t="s">
        <v>82</v>
      </c>
      <c r="G69">
        <v>1</v>
      </c>
      <c r="H69" s="30">
        <v>43845.567737500001</v>
      </c>
      <c r="I69" t="s">
        <v>78</v>
      </c>
      <c r="J69" s="30"/>
      <c r="L69" s="30"/>
      <c r="M69" s="30"/>
      <c r="N69" t="s">
        <v>79</v>
      </c>
      <c r="O69">
        <v>30</v>
      </c>
      <c r="P69">
        <v>1</v>
      </c>
      <c r="Q69" s="30">
        <v>43875.567737500001</v>
      </c>
      <c r="S69" s="30"/>
    </row>
    <row r="70" spans="2:22" x14ac:dyDescent="0.25">
      <c r="B70">
        <v>3</v>
      </c>
      <c r="C70" t="s">
        <v>83</v>
      </c>
      <c r="D70" t="s">
        <v>84</v>
      </c>
      <c r="E70" t="s">
        <v>85</v>
      </c>
      <c r="F70" t="s">
        <v>86</v>
      </c>
      <c r="G70">
        <v>1</v>
      </c>
      <c r="H70" s="30">
        <v>43879.716220451388</v>
      </c>
      <c r="I70" t="s">
        <v>78</v>
      </c>
      <c r="J70" s="30"/>
      <c r="K70" t="s">
        <v>87</v>
      </c>
      <c r="L70" s="30">
        <v>43886.809233796295</v>
      </c>
      <c r="M70" s="30"/>
      <c r="N70" t="s">
        <v>79</v>
      </c>
      <c r="O70">
        <v>30</v>
      </c>
      <c r="P70">
        <v>1</v>
      </c>
      <c r="Q70" s="30">
        <v>43875.567737534722</v>
      </c>
      <c r="S70" s="30"/>
    </row>
    <row r="71" spans="2:22" x14ac:dyDescent="0.25">
      <c r="B71">
        <v>4</v>
      </c>
      <c r="C71" t="s">
        <v>88</v>
      </c>
      <c r="D71" t="s">
        <v>77</v>
      </c>
      <c r="E71" t="s">
        <v>88</v>
      </c>
      <c r="G71">
        <v>1</v>
      </c>
      <c r="H71" s="30">
        <v>43845.568112928238</v>
      </c>
      <c r="I71" t="s">
        <v>78</v>
      </c>
      <c r="J71" s="30"/>
      <c r="L71" s="30"/>
      <c r="M71" s="30"/>
      <c r="N71" t="s">
        <v>79</v>
      </c>
      <c r="O71">
        <v>30</v>
      </c>
      <c r="P71">
        <v>1</v>
      </c>
      <c r="Q71" s="30">
        <v>43875.568112928238</v>
      </c>
      <c r="S71" s="30"/>
    </row>
    <row r="72" spans="2:22" x14ac:dyDescent="0.25">
      <c r="B72">
        <v>5</v>
      </c>
      <c r="C72" t="s">
        <v>89</v>
      </c>
      <c r="D72" t="s">
        <v>77</v>
      </c>
      <c r="E72" t="s">
        <v>89</v>
      </c>
      <c r="G72">
        <v>1</v>
      </c>
      <c r="H72" s="30">
        <v>43845.568113310183</v>
      </c>
      <c r="I72" t="s">
        <v>78</v>
      </c>
      <c r="J72" s="30"/>
      <c r="L72" s="30"/>
      <c r="M72" s="30"/>
      <c r="N72" t="s">
        <v>79</v>
      </c>
      <c r="O72">
        <v>30</v>
      </c>
      <c r="P72">
        <v>1</v>
      </c>
      <c r="Q72" s="30">
        <v>43875.568113310183</v>
      </c>
      <c r="S72" s="30"/>
    </row>
    <row r="73" spans="2:22" x14ac:dyDescent="0.25">
      <c r="B73">
        <v>6</v>
      </c>
      <c r="C73" t="s">
        <v>90</v>
      </c>
      <c r="D73" t="s">
        <v>87</v>
      </c>
      <c r="E73" t="s">
        <v>91</v>
      </c>
      <c r="F73" t="s">
        <v>92</v>
      </c>
      <c r="G73">
        <v>2</v>
      </c>
      <c r="H73" s="30">
        <v>43875.660769409726</v>
      </c>
      <c r="I73" t="s">
        <v>78</v>
      </c>
      <c r="J73" s="30"/>
      <c r="K73" t="s">
        <v>87</v>
      </c>
      <c r="L73" s="30">
        <v>43886.807346527778</v>
      </c>
      <c r="M73" s="30"/>
      <c r="N73" t="s">
        <v>79</v>
      </c>
      <c r="O73">
        <v>30</v>
      </c>
      <c r="P73">
        <v>3</v>
      </c>
      <c r="Q73" s="30">
        <v>43875.660769409726</v>
      </c>
      <c r="S73" s="30"/>
    </row>
    <row r="74" spans="2:22" x14ac:dyDescent="0.25">
      <c r="B74">
        <v>7</v>
      </c>
      <c r="C74" t="s">
        <v>93</v>
      </c>
      <c r="D74" t="s">
        <v>87</v>
      </c>
      <c r="E74" t="s">
        <v>94</v>
      </c>
      <c r="F74" t="s">
        <v>95</v>
      </c>
      <c r="G74">
        <v>2</v>
      </c>
      <c r="H74" s="30">
        <v>43875.68834479167</v>
      </c>
      <c r="I74" t="s">
        <v>78</v>
      </c>
      <c r="J74" s="30"/>
      <c r="K74" t="s">
        <v>87</v>
      </c>
      <c r="L74" s="30">
        <v>43892.637747916669</v>
      </c>
      <c r="M74" s="30"/>
      <c r="N74" t="s">
        <v>79</v>
      </c>
      <c r="O74">
        <v>30</v>
      </c>
      <c r="P74">
        <v>6</v>
      </c>
      <c r="Q74" s="30">
        <v>43875.68834479167</v>
      </c>
      <c r="S74" s="30"/>
    </row>
    <row r="75" spans="2:22" x14ac:dyDescent="0.25">
      <c r="B75">
        <v>8</v>
      </c>
      <c r="C75" t="s">
        <v>96</v>
      </c>
      <c r="D75" t="s">
        <v>87</v>
      </c>
      <c r="E75" t="s">
        <v>97</v>
      </c>
      <c r="F75" t="s">
        <v>86</v>
      </c>
      <c r="G75">
        <v>2</v>
      </c>
      <c r="H75" s="30">
        <v>43875.688346180556</v>
      </c>
      <c r="I75" t="s">
        <v>78</v>
      </c>
      <c r="J75" s="30"/>
      <c r="K75" t="s">
        <v>87</v>
      </c>
      <c r="L75" s="30">
        <v>43893.45618252315</v>
      </c>
      <c r="M75" s="30"/>
      <c r="N75" t="s">
        <v>79</v>
      </c>
      <c r="O75">
        <v>30</v>
      </c>
      <c r="P75">
        <v>6</v>
      </c>
      <c r="Q75" s="30">
        <v>43875.688346180556</v>
      </c>
      <c r="S75" s="30"/>
    </row>
    <row r="76" spans="2:22" x14ac:dyDescent="0.25">
      <c r="B76">
        <v>9</v>
      </c>
      <c r="C76" t="s">
        <v>98</v>
      </c>
      <c r="D76" t="s">
        <v>87</v>
      </c>
      <c r="E76" t="s">
        <v>99</v>
      </c>
      <c r="F76" t="s">
        <v>100</v>
      </c>
      <c r="G76">
        <v>2</v>
      </c>
      <c r="H76" s="30">
        <v>43875.688346875002</v>
      </c>
      <c r="I76" t="s">
        <v>78</v>
      </c>
      <c r="J76" s="30"/>
      <c r="K76" t="s">
        <v>87</v>
      </c>
      <c r="L76" s="30">
        <v>43892.650208877312</v>
      </c>
      <c r="M76" s="30"/>
      <c r="N76" t="s">
        <v>79</v>
      </c>
      <c r="O76">
        <v>30</v>
      </c>
      <c r="P76">
        <v>6</v>
      </c>
      <c r="Q76" s="30">
        <v>43875.688346875002</v>
      </c>
      <c r="S76" s="30"/>
    </row>
    <row r="77" spans="2:22" x14ac:dyDescent="0.25">
      <c r="B77">
        <v>10</v>
      </c>
      <c r="C77" t="s">
        <v>101</v>
      </c>
      <c r="D77" t="s">
        <v>87</v>
      </c>
      <c r="E77" t="s">
        <v>102</v>
      </c>
      <c r="F77" t="s">
        <v>100</v>
      </c>
      <c r="G77">
        <v>2</v>
      </c>
      <c r="H77" s="30">
        <v>43879.66090570602</v>
      </c>
      <c r="I77" t="s">
        <v>78</v>
      </c>
      <c r="J77" s="30"/>
      <c r="K77" t="s">
        <v>87</v>
      </c>
      <c r="L77" s="30"/>
      <c r="M77" s="30"/>
      <c r="N77" t="s">
        <v>79</v>
      </c>
      <c r="O77">
        <v>30</v>
      </c>
      <c r="P77">
        <v>9</v>
      </c>
      <c r="Q77" s="30">
        <v>43879.66090570602</v>
      </c>
      <c r="S77" s="30"/>
    </row>
    <row r="78" spans="2:22" x14ac:dyDescent="0.25">
      <c r="B78">
        <v>11</v>
      </c>
      <c r="C78" t="s">
        <v>103</v>
      </c>
      <c r="D78" t="s">
        <v>87</v>
      </c>
      <c r="E78" t="s">
        <v>104</v>
      </c>
      <c r="F78" t="s">
        <v>86</v>
      </c>
      <c r="G78">
        <v>2</v>
      </c>
      <c r="H78" s="30">
        <v>43880.509512997683</v>
      </c>
      <c r="I78" t="s">
        <v>78</v>
      </c>
      <c r="J78" s="30"/>
      <c r="K78" t="s">
        <v>87</v>
      </c>
      <c r="L78" s="30">
        <v>43892.746614085649</v>
      </c>
      <c r="M78" s="30"/>
      <c r="N78" t="s">
        <v>79</v>
      </c>
      <c r="O78">
        <v>30</v>
      </c>
      <c r="P78">
        <v>8</v>
      </c>
      <c r="Q78" s="30">
        <v>43880.509512997683</v>
      </c>
      <c r="S78" s="30"/>
    </row>
    <row r="79" spans="2:22" x14ac:dyDescent="0.25">
      <c r="B79">
        <v>12</v>
      </c>
      <c r="C79" t="s">
        <v>105</v>
      </c>
      <c r="D79" t="s">
        <v>87</v>
      </c>
      <c r="E79" t="s">
        <v>106</v>
      </c>
      <c r="F79" t="s">
        <v>107</v>
      </c>
      <c r="G79">
        <v>2</v>
      </c>
      <c r="H79" s="30">
        <v>43880.528286423614</v>
      </c>
      <c r="I79" t="s">
        <v>78</v>
      </c>
      <c r="J79" s="30"/>
      <c r="K79" t="s">
        <v>87</v>
      </c>
      <c r="L79" s="30"/>
      <c r="M79" s="30"/>
      <c r="N79" t="s">
        <v>79</v>
      </c>
      <c r="O79">
        <v>30</v>
      </c>
      <c r="P79">
        <v>6</v>
      </c>
      <c r="Q79" s="30">
        <v>43880.528286423614</v>
      </c>
      <c r="S79" s="30"/>
    </row>
    <row r="80" spans="2:22" x14ac:dyDescent="0.25">
      <c r="B80">
        <v>13</v>
      </c>
      <c r="C80" t="s">
        <v>108</v>
      </c>
      <c r="D80" t="s">
        <v>87</v>
      </c>
      <c r="E80" t="s">
        <v>109</v>
      </c>
      <c r="F80" t="s">
        <v>110</v>
      </c>
      <c r="G80">
        <v>2</v>
      </c>
      <c r="H80" s="30">
        <v>43880.52828885417</v>
      </c>
      <c r="I80" t="s">
        <v>78</v>
      </c>
      <c r="J80" s="30"/>
      <c r="K80" t="s">
        <v>87</v>
      </c>
      <c r="L80" s="30"/>
      <c r="M80" s="30"/>
      <c r="N80" t="s">
        <v>79</v>
      </c>
      <c r="O80">
        <v>30</v>
      </c>
      <c r="P80">
        <v>6</v>
      </c>
      <c r="Q80" s="30">
        <v>43880.52828885417</v>
      </c>
      <c r="S80" s="30"/>
    </row>
    <row r="81" spans="2:19" x14ac:dyDescent="0.25">
      <c r="B81">
        <v>14</v>
      </c>
      <c r="C81" t="s">
        <v>111</v>
      </c>
      <c r="D81" t="s">
        <v>87</v>
      </c>
      <c r="E81" t="s">
        <v>111</v>
      </c>
      <c r="F81" t="s">
        <v>87</v>
      </c>
      <c r="G81">
        <v>2</v>
      </c>
      <c r="H81" s="30">
        <v>43880.528289548609</v>
      </c>
      <c r="I81" t="s">
        <v>78</v>
      </c>
      <c r="J81" s="30"/>
      <c r="K81" t="s">
        <v>87</v>
      </c>
      <c r="L81" s="30"/>
      <c r="M81" s="30"/>
      <c r="N81" t="s">
        <v>79</v>
      </c>
      <c r="O81">
        <v>30</v>
      </c>
      <c r="P81">
        <v>6</v>
      </c>
      <c r="Q81" s="30">
        <v>43880.528289548609</v>
      </c>
      <c r="S81" s="30"/>
    </row>
    <row r="82" spans="2:19" x14ac:dyDescent="0.25">
      <c r="B82">
        <v>15</v>
      </c>
      <c r="C82" t="s">
        <v>112</v>
      </c>
      <c r="D82" t="s">
        <v>87</v>
      </c>
      <c r="E82" t="s">
        <v>112</v>
      </c>
      <c r="F82" t="s">
        <v>87</v>
      </c>
      <c r="G82">
        <v>2</v>
      </c>
      <c r="H82" s="30">
        <v>43880.528290243055</v>
      </c>
      <c r="I82" t="s">
        <v>78</v>
      </c>
      <c r="J82" s="30"/>
      <c r="K82" t="s">
        <v>87</v>
      </c>
      <c r="L82" s="30">
        <v>43893.427416863429</v>
      </c>
      <c r="M82" s="30"/>
      <c r="N82" t="s">
        <v>79</v>
      </c>
      <c r="O82">
        <v>30</v>
      </c>
      <c r="P82">
        <v>6</v>
      </c>
      <c r="Q82" s="30">
        <v>43880.528290243055</v>
      </c>
      <c r="S82" s="30"/>
    </row>
    <row r="83" spans="2:19" x14ac:dyDescent="0.25">
      <c r="B83">
        <v>16</v>
      </c>
      <c r="C83" t="s">
        <v>113</v>
      </c>
      <c r="D83" t="s">
        <v>87</v>
      </c>
      <c r="E83" t="s">
        <v>114</v>
      </c>
      <c r="F83" t="s">
        <v>87</v>
      </c>
      <c r="G83">
        <v>2</v>
      </c>
      <c r="H83" s="30">
        <v>43880.528290972223</v>
      </c>
      <c r="I83" t="s">
        <v>78</v>
      </c>
      <c r="J83" s="30"/>
      <c r="K83" t="s">
        <v>87</v>
      </c>
      <c r="L83" s="30">
        <v>43893.461605520832</v>
      </c>
      <c r="M83" s="30"/>
      <c r="N83" t="s">
        <v>79</v>
      </c>
      <c r="O83">
        <v>30</v>
      </c>
      <c r="P83">
        <v>6</v>
      </c>
      <c r="Q83" s="30">
        <v>43880.528290972223</v>
      </c>
      <c r="S83" s="30"/>
    </row>
    <row r="84" spans="2:19" x14ac:dyDescent="0.25">
      <c r="B84">
        <v>17</v>
      </c>
      <c r="C84" t="s">
        <v>115</v>
      </c>
      <c r="D84" t="s">
        <v>87</v>
      </c>
      <c r="E84" t="s">
        <v>116</v>
      </c>
      <c r="F84" t="s">
        <v>117</v>
      </c>
      <c r="G84">
        <v>2</v>
      </c>
      <c r="H84" s="30">
        <v>43880.52829170139</v>
      </c>
      <c r="I84" t="s">
        <v>78</v>
      </c>
      <c r="J84" s="30"/>
      <c r="K84" t="s">
        <v>87</v>
      </c>
      <c r="L84" s="30"/>
      <c r="M84" s="30"/>
      <c r="N84" t="s">
        <v>79</v>
      </c>
      <c r="O84">
        <v>30</v>
      </c>
      <c r="P84">
        <v>6</v>
      </c>
      <c r="Q84" s="30">
        <v>43880.52829170139</v>
      </c>
      <c r="S84" s="30"/>
    </row>
    <row r="85" spans="2:19" x14ac:dyDescent="0.25">
      <c r="B85">
        <v>18</v>
      </c>
      <c r="C85" t="s">
        <v>118</v>
      </c>
      <c r="D85" t="s">
        <v>87</v>
      </c>
      <c r="E85" t="s">
        <v>119</v>
      </c>
      <c r="F85" t="s">
        <v>120</v>
      </c>
      <c r="G85">
        <v>2</v>
      </c>
      <c r="H85" s="30">
        <v>43880.528292395837</v>
      </c>
      <c r="I85" t="s">
        <v>78</v>
      </c>
      <c r="J85" s="30"/>
      <c r="K85" t="s">
        <v>87</v>
      </c>
      <c r="L85" s="30">
        <v>43893.440535416667</v>
      </c>
      <c r="M85" s="30"/>
      <c r="N85" t="s">
        <v>79</v>
      </c>
      <c r="O85">
        <v>30</v>
      </c>
      <c r="P85">
        <v>6</v>
      </c>
      <c r="Q85" s="30">
        <v>43880.528292395837</v>
      </c>
      <c r="S85" s="30"/>
    </row>
    <row r="86" spans="2:19" x14ac:dyDescent="0.25">
      <c r="B86">
        <v>19</v>
      </c>
      <c r="C86" t="s">
        <v>121</v>
      </c>
      <c r="D86" t="s">
        <v>87</v>
      </c>
      <c r="E86" t="s">
        <v>122</v>
      </c>
      <c r="F86" t="s">
        <v>123</v>
      </c>
      <c r="G86">
        <v>2</v>
      </c>
      <c r="H86" s="30">
        <v>43880.528293368057</v>
      </c>
      <c r="I86" t="s">
        <v>78</v>
      </c>
      <c r="J86" s="30"/>
      <c r="K86" t="s">
        <v>87</v>
      </c>
      <c r="L86" s="30">
        <v>43892.611472685188</v>
      </c>
      <c r="M86" s="30"/>
      <c r="N86" t="s">
        <v>79</v>
      </c>
      <c r="O86">
        <v>30</v>
      </c>
      <c r="P86">
        <v>6</v>
      </c>
      <c r="Q86" s="30">
        <v>43880.528293368057</v>
      </c>
      <c r="S86" s="30"/>
    </row>
    <row r="87" spans="2:19" x14ac:dyDescent="0.25">
      <c r="B87">
        <v>20</v>
      </c>
      <c r="C87" t="s">
        <v>124</v>
      </c>
      <c r="D87" t="s">
        <v>87</v>
      </c>
      <c r="E87" t="s">
        <v>125</v>
      </c>
      <c r="F87" t="s">
        <v>95</v>
      </c>
      <c r="G87">
        <v>2</v>
      </c>
      <c r="H87" s="30">
        <v>43880.528294212963</v>
      </c>
      <c r="I87" t="s">
        <v>78</v>
      </c>
      <c r="J87" s="30"/>
      <c r="K87" t="s">
        <v>87</v>
      </c>
      <c r="L87" s="30">
        <v>43892.597949733798</v>
      </c>
      <c r="M87" s="30"/>
      <c r="N87" t="s">
        <v>79</v>
      </c>
      <c r="O87">
        <v>30</v>
      </c>
      <c r="P87">
        <v>6</v>
      </c>
      <c r="Q87" s="30">
        <v>43880.528294212963</v>
      </c>
      <c r="S87" s="30"/>
    </row>
    <row r="88" spans="2:19" x14ac:dyDescent="0.25">
      <c r="B88">
        <v>21</v>
      </c>
      <c r="C88" t="s">
        <v>126</v>
      </c>
      <c r="D88" t="s">
        <v>127</v>
      </c>
      <c r="E88" t="s">
        <v>126</v>
      </c>
      <c r="F88" t="s">
        <v>87</v>
      </c>
      <c r="G88">
        <v>1</v>
      </c>
      <c r="H88" s="30">
        <v>43850.609179479165</v>
      </c>
      <c r="I88" t="s">
        <v>78</v>
      </c>
      <c r="J88" s="30"/>
      <c r="K88" t="s">
        <v>87</v>
      </c>
      <c r="L88" s="30"/>
      <c r="M88" s="30"/>
      <c r="N88" t="s">
        <v>79</v>
      </c>
      <c r="O88">
        <v>30</v>
      </c>
      <c r="P88">
        <v>3</v>
      </c>
      <c r="Q88" s="30">
        <v>43880.609179479165</v>
      </c>
      <c r="S88" s="30"/>
    </row>
    <row r="89" spans="2:19" x14ac:dyDescent="0.25">
      <c r="B89">
        <v>22</v>
      </c>
      <c r="C89" t="s">
        <v>128</v>
      </c>
      <c r="D89" t="s">
        <v>127</v>
      </c>
      <c r="E89" t="s">
        <v>128</v>
      </c>
      <c r="F89" t="s">
        <v>87</v>
      </c>
      <c r="G89">
        <v>1</v>
      </c>
      <c r="H89" s="30">
        <v>43850.674419212963</v>
      </c>
      <c r="I89" t="s">
        <v>78</v>
      </c>
      <c r="J89" s="30"/>
      <c r="K89" t="s">
        <v>87</v>
      </c>
      <c r="L89" s="30"/>
      <c r="M89" s="30"/>
      <c r="N89" t="s">
        <v>79</v>
      </c>
      <c r="O89">
        <v>30</v>
      </c>
      <c r="P89">
        <v>3</v>
      </c>
      <c r="Q89" s="30">
        <v>43880.674419212963</v>
      </c>
      <c r="S89" s="30"/>
    </row>
    <row r="90" spans="2:19" x14ac:dyDescent="0.25">
      <c r="B90">
        <v>23</v>
      </c>
      <c r="C90" t="s">
        <v>129</v>
      </c>
      <c r="E90" t="s">
        <v>130</v>
      </c>
      <c r="F90" t="s">
        <v>131</v>
      </c>
      <c r="G90">
        <v>2</v>
      </c>
      <c r="H90" s="30"/>
      <c r="I90" t="s">
        <v>78</v>
      </c>
      <c r="J90" s="30"/>
      <c r="L90" s="30"/>
      <c r="M90" s="30"/>
      <c r="N90" t="s">
        <v>79</v>
      </c>
      <c r="O90">
        <v>30</v>
      </c>
      <c r="P90">
        <v>3</v>
      </c>
      <c r="Q90" s="30">
        <v>43881.510981863423</v>
      </c>
      <c r="S90" s="30"/>
    </row>
    <row r="91" spans="2:19" x14ac:dyDescent="0.25">
      <c r="B91">
        <v>24</v>
      </c>
      <c r="C91" t="s">
        <v>132</v>
      </c>
      <c r="E91" t="s">
        <v>132</v>
      </c>
      <c r="F91" t="s">
        <v>87</v>
      </c>
      <c r="G91">
        <v>2</v>
      </c>
      <c r="H91" s="30"/>
      <c r="I91" t="s">
        <v>78</v>
      </c>
      <c r="J91" s="30"/>
      <c r="L91" s="30"/>
      <c r="M91" s="30"/>
      <c r="N91" t="s">
        <v>79</v>
      </c>
      <c r="O91">
        <v>30</v>
      </c>
      <c r="P91">
        <v>3</v>
      </c>
      <c r="Q91" s="30">
        <v>43881.511001736108</v>
      </c>
      <c r="S91" s="30"/>
    </row>
    <row r="92" spans="2:19" x14ac:dyDescent="0.25">
      <c r="B92">
        <v>25</v>
      </c>
      <c r="C92" t="s">
        <v>133</v>
      </c>
      <c r="E92" t="s">
        <v>133</v>
      </c>
      <c r="F92" t="s">
        <v>87</v>
      </c>
      <c r="G92">
        <v>2</v>
      </c>
      <c r="H92" s="30"/>
      <c r="I92" t="s">
        <v>78</v>
      </c>
      <c r="J92" s="30"/>
      <c r="L92" s="30"/>
      <c r="M92" s="30"/>
      <c r="N92" t="s">
        <v>79</v>
      </c>
      <c r="O92">
        <v>30</v>
      </c>
      <c r="P92">
        <v>3</v>
      </c>
      <c r="Q92" s="30">
        <v>43881.511025266205</v>
      </c>
      <c r="S92" s="30"/>
    </row>
    <row r="93" spans="2:19" x14ac:dyDescent="0.25">
      <c r="B93">
        <v>26</v>
      </c>
      <c r="C93" t="s">
        <v>134</v>
      </c>
      <c r="E93" t="s">
        <v>134</v>
      </c>
      <c r="F93" t="s">
        <v>87</v>
      </c>
      <c r="G93">
        <v>2</v>
      </c>
      <c r="H93" s="30"/>
      <c r="I93" t="s">
        <v>78</v>
      </c>
      <c r="J93" s="30"/>
      <c r="L93" s="30"/>
      <c r="M93" s="30"/>
      <c r="N93" t="s">
        <v>79</v>
      </c>
      <c r="O93">
        <v>30</v>
      </c>
      <c r="P93">
        <v>3</v>
      </c>
      <c r="Q93" s="30">
        <v>43881.511031099537</v>
      </c>
      <c r="S93" s="30"/>
    </row>
    <row r="94" spans="2:19" x14ac:dyDescent="0.25">
      <c r="B94">
        <v>27</v>
      </c>
      <c r="C94" t="s">
        <v>135</v>
      </c>
      <c r="E94" t="s">
        <v>136</v>
      </c>
      <c r="F94" t="s">
        <v>120</v>
      </c>
      <c r="G94">
        <v>2</v>
      </c>
      <c r="H94" s="30"/>
      <c r="I94" t="s">
        <v>78</v>
      </c>
      <c r="J94" s="30"/>
      <c r="L94" s="30"/>
      <c r="M94" s="30"/>
      <c r="N94" t="s">
        <v>79</v>
      </c>
      <c r="O94">
        <v>30</v>
      </c>
      <c r="P94">
        <v>3</v>
      </c>
      <c r="Q94" s="30">
        <v>43881.511038391203</v>
      </c>
      <c r="S94" s="30"/>
    </row>
    <row r="95" spans="2:19" x14ac:dyDescent="0.25">
      <c r="B95">
        <v>28</v>
      </c>
      <c r="C95" t="s">
        <v>137</v>
      </c>
      <c r="E95" t="s">
        <v>138</v>
      </c>
      <c r="F95" t="s">
        <v>86</v>
      </c>
      <c r="G95">
        <v>2</v>
      </c>
      <c r="H95" s="30"/>
      <c r="I95" t="s">
        <v>78</v>
      </c>
      <c r="J95" s="30"/>
      <c r="L95" s="30"/>
      <c r="M95" s="30"/>
      <c r="N95" t="s">
        <v>79</v>
      </c>
      <c r="O95">
        <v>30</v>
      </c>
      <c r="P95">
        <v>3</v>
      </c>
      <c r="Q95" s="30">
        <v>43881.511043055558</v>
      </c>
      <c r="S95" s="30"/>
    </row>
    <row r="96" spans="2:19" x14ac:dyDescent="0.25">
      <c r="B96">
        <v>29</v>
      </c>
      <c r="C96" t="s">
        <v>139</v>
      </c>
      <c r="E96" t="s">
        <v>139</v>
      </c>
      <c r="F96" t="s">
        <v>87</v>
      </c>
      <c r="G96">
        <v>2</v>
      </c>
      <c r="H96" s="30"/>
      <c r="I96" t="s">
        <v>78</v>
      </c>
      <c r="J96" s="30"/>
      <c r="L96" s="30"/>
      <c r="M96" s="30"/>
      <c r="N96" t="s">
        <v>79</v>
      </c>
      <c r="O96">
        <v>30</v>
      </c>
      <c r="P96">
        <v>3</v>
      </c>
      <c r="Q96" s="30">
        <v>43881.511044131941</v>
      </c>
      <c r="S96" s="30"/>
    </row>
    <row r="97" spans="2:19" x14ac:dyDescent="0.25">
      <c r="B97">
        <v>30</v>
      </c>
      <c r="C97" t="s">
        <v>140</v>
      </c>
      <c r="E97" t="s">
        <v>140</v>
      </c>
      <c r="F97" t="s">
        <v>87</v>
      </c>
      <c r="G97">
        <v>2</v>
      </c>
      <c r="H97" s="30"/>
      <c r="I97" t="s">
        <v>78</v>
      </c>
      <c r="J97" s="30"/>
      <c r="L97" s="30"/>
      <c r="M97" s="30"/>
      <c r="N97" t="s">
        <v>79</v>
      </c>
      <c r="O97">
        <v>30</v>
      </c>
      <c r="P97">
        <v>3</v>
      </c>
      <c r="Q97" s="30">
        <v>43881.511047604166</v>
      </c>
      <c r="S97" s="30"/>
    </row>
    <row r="98" spans="2:19" x14ac:dyDescent="0.25">
      <c r="B98">
        <v>31</v>
      </c>
      <c r="C98" t="s">
        <v>141</v>
      </c>
      <c r="E98" t="s">
        <v>141</v>
      </c>
      <c r="F98" t="s">
        <v>87</v>
      </c>
      <c r="G98">
        <v>2</v>
      </c>
      <c r="H98" s="30"/>
      <c r="I98" t="s">
        <v>78</v>
      </c>
      <c r="J98" s="30"/>
      <c r="L98" s="30">
        <v>43893.479878900464</v>
      </c>
      <c r="M98" s="30"/>
      <c r="N98" t="s">
        <v>79</v>
      </c>
      <c r="O98">
        <v>30</v>
      </c>
      <c r="P98">
        <v>3</v>
      </c>
      <c r="Q98" s="30">
        <v>43881.511057025462</v>
      </c>
      <c r="S98" s="30"/>
    </row>
    <row r="99" spans="2:19" hidden="1" x14ac:dyDescent="0.25">
      <c r="B99">
        <v>32</v>
      </c>
      <c r="C99" t="s">
        <v>142</v>
      </c>
      <c r="E99" t="s">
        <v>143</v>
      </c>
      <c r="F99" t="s">
        <v>117</v>
      </c>
      <c r="G99">
        <v>2</v>
      </c>
      <c r="H99" s="30"/>
      <c r="I99" t="s">
        <v>78</v>
      </c>
      <c r="J99" s="30"/>
      <c r="L99" s="30"/>
      <c r="M99" s="30"/>
      <c r="N99" t="s">
        <v>79</v>
      </c>
      <c r="O99">
        <v>30</v>
      </c>
      <c r="P99">
        <v>3</v>
      </c>
      <c r="Q99" s="30">
        <v>43881.511062928243</v>
      </c>
      <c r="S99" s="30"/>
    </row>
    <row r="100" spans="2:19" x14ac:dyDescent="0.25">
      <c r="B100">
        <v>33</v>
      </c>
      <c r="C100" t="s">
        <v>144</v>
      </c>
      <c r="E100" t="s">
        <v>144</v>
      </c>
      <c r="F100" t="s">
        <v>87</v>
      </c>
      <c r="G100">
        <v>2</v>
      </c>
      <c r="H100" s="30"/>
      <c r="I100" t="s">
        <v>78</v>
      </c>
      <c r="J100" s="30"/>
      <c r="L100" s="30"/>
      <c r="M100" s="30"/>
      <c r="N100" t="s">
        <v>145</v>
      </c>
      <c r="O100">
        <v>30</v>
      </c>
      <c r="P100">
        <v>3</v>
      </c>
      <c r="Q100" s="30">
        <v>43881.523255208333</v>
      </c>
      <c r="S100" s="30"/>
    </row>
    <row r="101" spans="2:19" hidden="1" x14ac:dyDescent="0.25">
      <c r="B101">
        <v>34</v>
      </c>
      <c r="C101" t="s">
        <v>146</v>
      </c>
      <c r="E101" t="s">
        <v>146</v>
      </c>
      <c r="F101" t="s">
        <v>87</v>
      </c>
      <c r="G101">
        <v>2</v>
      </c>
      <c r="H101" s="30"/>
      <c r="I101" t="s">
        <v>78</v>
      </c>
      <c r="J101" s="30"/>
      <c r="L101" s="30">
        <v>43893.46557508102</v>
      </c>
      <c r="M101" s="30"/>
      <c r="N101" t="s">
        <v>79</v>
      </c>
      <c r="O101">
        <v>30</v>
      </c>
      <c r="P101">
        <v>3</v>
      </c>
      <c r="Q101" s="30">
        <v>43881.523257488428</v>
      </c>
      <c r="S101" s="30"/>
    </row>
    <row r="102" spans="2:19" x14ac:dyDescent="0.25">
      <c r="B102">
        <v>35</v>
      </c>
      <c r="C102" t="s">
        <v>147</v>
      </c>
      <c r="E102" t="s">
        <v>147</v>
      </c>
      <c r="F102" t="s">
        <v>87</v>
      </c>
      <c r="G102">
        <v>2</v>
      </c>
      <c r="H102" s="30"/>
      <c r="I102" t="s">
        <v>78</v>
      </c>
      <c r="J102" s="30"/>
      <c r="L102" s="30">
        <v>43893.465776585646</v>
      </c>
      <c r="M102" s="30"/>
      <c r="N102" t="s">
        <v>79</v>
      </c>
      <c r="O102">
        <v>30</v>
      </c>
      <c r="P102">
        <v>3</v>
      </c>
      <c r="Q102" s="30">
        <v>43881.523258946756</v>
      </c>
      <c r="S102" s="30"/>
    </row>
    <row r="103" spans="2:19" hidden="1" x14ac:dyDescent="0.25">
      <c r="B103">
        <v>36</v>
      </c>
      <c r="C103" t="s">
        <v>148</v>
      </c>
      <c r="D103" t="s">
        <v>127</v>
      </c>
      <c r="E103" t="s">
        <v>148</v>
      </c>
      <c r="F103" t="s">
        <v>87</v>
      </c>
      <c r="G103">
        <v>1</v>
      </c>
      <c r="H103" s="30">
        <v>43852.468001006942</v>
      </c>
      <c r="I103" t="s">
        <v>78</v>
      </c>
      <c r="J103" s="30"/>
      <c r="K103" t="s">
        <v>87</v>
      </c>
      <c r="L103" s="30"/>
      <c r="M103" s="30"/>
      <c r="N103" t="s">
        <v>79</v>
      </c>
      <c r="O103">
        <v>30</v>
      </c>
      <c r="P103">
        <v>3</v>
      </c>
      <c r="Q103" s="30">
        <v>43882.468001006942</v>
      </c>
      <c r="S103" s="30"/>
    </row>
    <row r="104" spans="2:19" x14ac:dyDescent="0.25">
      <c r="B104">
        <v>37</v>
      </c>
      <c r="C104" t="s">
        <v>125</v>
      </c>
      <c r="D104" t="s">
        <v>127</v>
      </c>
      <c r="E104" t="s">
        <v>125</v>
      </c>
      <c r="F104" t="s">
        <v>87</v>
      </c>
      <c r="G104">
        <v>1</v>
      </c>
      <c r="H104" s="30">
        <v>43862.523162384263</v>
      </c>
      <c r="I104" t="s">
        <v>78</v>
      </c>
      <c r="J104" s="30"/>
      <c r="K104" t="s">
        <v>87</v>
      </c>
      <c r="L104" s="30"/>
      <c r="M104" s="30"/>
      <c r="N104" t="s">
        <v>79</v>
      </c>
      <c r="O104">
        <v>30</v>
      </c>
      <c r="P104">
        <v>3</v>
      </c>
      <c r="Q104" s="30">
        <v>43892.523162384263</v>
      </c>
      <c r="S104" s="30"/>
    </row>
    <row r="105" spans="2:19" x14ac:dyDescent="0.25">
      <c r="B105">
        <v>38</v>
      </c>
      <c r="C105" t="s">
        <v>91</v>
      </c>
      <c r="D105" t="s">
        <v>127</v>
      </c>
      <c r="E105" t="s">
        <v>91</v>
      </c>
      <c r="F105" t="s">
        <v>87</v>
      </c>
      <c r="G105">
        <v>1</v>
      </c>
      <c r="H105" s="30">
        <v>43862.523198993054</v>
      </c>
      <c r="I105" t="s">
        <v>78</v>
      </c>
      <c r="J105" s="30"/>
      <c r="K105" t="s">
        <v>87</v>
      </c>
      <c r="L105" s="30"/>
      <c r="M105" s="30"/>
      <c r="N105" t="s">
        <v>79</v>
      </c>
      <c r="O105">
        <v>30</v>
      </c>
      <c r="P105">
        <v>3</v>
      </c>
      <c r="Q105" s="30">
        <v>43892.523198993054</v>
      </c>
      <c r="S105" s="30"/>
    </row>
    <row r="106" spans="2:19" x14ac:dyDescent="0.25">
      <c r="B106">
        <v>39</v>
      </c>
      <c r="C106" t="s">
        <v>149</v>
      </c>
      <c r="D106" t="s">
        <v>87</v>
      </c>
      <c r="E106" t="s">
        <v>150</v>
      </c>
      <c r="F106" t="s">
        <v>151</v>
      </c>
      <c r="G106">
        <v>2</v>
      </c>
      <c r="H106" s="30">
        <v>43893.454133831015</v>
      </c>
      <c r="I106" t="s">
        <v>78</v>
      </c>
      <c r="J106" s="30"/>
      <c r="K106" t="s">
        <v>87</v>
      </c>
      <c r="L106" s="30">
        <v>43893.711744016204</v>
      </c>
      <c r="M106" s="30"/>
      <c r="N106" t="s">
        <v>79</v>
      </c>
      <c r="O106">
        <v>30</v>
      </c>
      <c r="P106">
        <v>35</v>
      </c>
      <c r="Q106" s="30">
        <v>43893.454133831015</v>
      </c>
      <c r="S106" s="30"/>
    </row>
  </sheetData>
  <mergeCells count="4">
    <mergeCell ref="B46:E46"/>
    <mergeCell ref="G46:J46"/>
    <mergeCell ref="B11:B12"/>
    <mergeCell ref="D12:E14"/>
  </mergeCells>
  <conditionalFormatting sqref="K27:K33">
    <cfRule type="cellIs" dxfId="14" priority="3" operator="greaterThan">
      <formula>77.5</formula>
    </cfRule>
  </conditionalFormatting>
  <conditionalFormatting sqref="J27:J33">
    <cfRule type="cellIs" dxfId="13" priority="1" operator="between">
      <formula>85</formula>
      <formula>95</formula>
    </cfRule>
  </conditionalFormatting>
  <dataValidations disablePrompts="1" count="1">
    <dataValidation type="whole" allowBlank="1" showInputMessage="1" showErrorMessage="1" errorTitle="Error" error="Input value should be less than 10 and greter than 1" promptTitle="Error MSG" prompt="Please enter value between 1 to 10" sqref="H9" xr:uid="{EDD53547-94A0-4A78-ABE5-DBD1FDBD3542}">
      <formula1>1</formula1>
      <formula2>10</formula2>
    </dataValidation>
  </dataValidations>
  <pageMargins left="0.7" right="0.7" top="0.75" bottom="0.75" header="0.3" footer="0.3"/>
  <pageSetup orientation="portrait" horizontalDpi="300" verticalDpi="300" r:id="rId3"/>
  <drawing r:id="rId4"/>
  <legacyDrawing r:id="rId5"/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50F94-891A-4430-86F0-1B255F851E00}">
  <sheetPr codeName="Sheet2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4958-0C94-489A-95D9-BED27CB9AD82}">
  <sheetPr codeName="Sheet3"/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E93A-1182-4D9D-84AF-AD4A24933D8C}">
  <sheetPr codeName="Sheet4"/>
  <dimension ref="A3:D10"/>
  <sheetViews>
    <sheetView workbookViewId="0">
      <selection activeCell="A3" sqref="A3"/>
    </sheetView>
  </sheetViews>
  <sheetFormatPr defaultRowHeight="15" x14ac:dyDescent="0.25"/>
  <cols>
    <col min="1" max="1" width="19.5703125" bestFit="1" customWidth="1"/>
    <col min="2" max="2" width="10.42578125" bestFit="1" customWidth="1"/>
    <col min="3" max="3" width="10.85546875" bestFit="1" customWidth="1"/>
    <col min="4" max="4" width="11.140625" bestFit="1" customWidth="1"/>
  </cols>
  <sheetData>
    <row r="3" spans="1:4" x14ac:dyDescent="0.25">
      <c r="A3" s="27" t="s">
        <v>47</v>
      </c>
      <c r="B3" t="s">
        <v>49</v>
      </c>
      <c r="C3" t="s">
        <v>50</v>
      </c>
      <c r="D3" t="s">
        <v>51</v>
      </c>
    </row>
    <row r="4" spans="1:4" x14ac:dyDescent="0.25">
      <c r="A4" s="28" t="s">
        <v>43</v>
      </c>
      <c r="B4">
        <v>1522</v>
      </c>
      <c r="C4">
        <v>1984</v>
      </c>
      <c r="D4">
        <v>2277</v>
      </c>
    </row>
    <row r="5" spans="1:4" x14ac:dyDescent="0.25">
      <c r="A5" s="28" t="s">
        <v>42</v>
      </c>
    </row>
    <row r="6" spans="1:4" x14ac:dyDescent="0.25">
      <c r="A6" s="28" t="s">
        <v>44</v>
      </c>
      <c r="B6">
        <v>1788</v>
      </c>
      <c r="C6">
        <v>2669</v>
      </c>
      <c r="D6">
        <v>3637</v>
      </c>
    </row>
    <row r="7" spans="1:4" x14ac:dyDescent="0.25">
      <c r="A7" s="28" t="s">
        <v>45</v>
      </c>
      <c r="B7">
        <v>1663</v>
      </c>
      <c r="C7">
        <v>3022</v>
      </c>
      <c r="D7">
        <v>3183</v>
      </c>
    </row>
    <row r="8" spans="1:4" x14ac:dyDescent="0.25">
      <c r="A8" s="28" t="s">
        <v>46</v>
      </c>
      <c r="B8">
        <v>5205</v>
      </c>
      <c r="C8">
        <v>6712</v>
      </c>
      <c r="D8">
        <v>3788</v>
      </c>
    </row>
    <row r="9" spans="1:4" x14ac:dyDescent="0.25">
      <c r="A9" s="28" t="s">
        <v>17</v>
      </c>
      <c r="B9">
        <v>10178</v>
      </c>
      <c r="C9">
        <v>14387</v>
      </c>
      <c r="D9">
        <v>9097</v>
      </c>
    </row>
    <row r="10" spans="1:4" x14ac:dyDescent="0.25">
      <c r="A10" s="28" t="s">
        <v>48</v>
      </c>
      <c r="B10">
        <v>20356</v>
      </c>
      <c r="C10">
        <v>28774</v>
      </c>
      <c r="D10">
        <v>21982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7F144-938B-46C7-84C4-3B117085ED38}">
  <sheetPr codeName="Sheet5"/>
  <dimension ref="A3:D13"/>
  <sheetViews>
    <sheetView tabSelected="1" topLeftCell="A7" workbookViewId="0">
      <selection activeCell="H8" sqref="H8"/>
    </sheetView>
  </sheetViews>
  <sheetFormatPr defaultRowHeight="15" x14ac:dyDescent="0.25"/>
  <cols>
    <col min="1" max="1" width="13.140625" bestFit="1" customWidth="1"/>
    <col min="2" max="2" width="10.42578125" bestFit="1" customWidth="1"/>
    <col min="3" max="3" width="10.85546875" bestFit="1" customWidth="1"/>
    <col min="4" max="4" width="11.140625" bestFit="1" customWidth="1"/>
  </cols>
  <sheetData>
    <row r="3" spans="1:4" x14ac:dyDescent="0.25">
      <c r="A3" s="27" t="s">
        <v>47</v>
      </c>
      <c r="B3" t="s">
        <v>49</v>
      </c>
      <c r="C3" t="s">
        <v>50</v>
      </c>
      <c r="D3" t="s">
        <v>51</v>
      </c>
    </row>
    <row r="4" spans="1:4" x14ac:dyDescent="0.25">
      <c r="A4" s="28" t="s">
        <v>43</v>
      </c>
      <c r="B4">
        <v>1522</v>
      </c>
      <c r="C4">
        <v>1984</v>
      </c>
      <c r="D4">
        <v>2277</v>
      </c>
    </row>
    <row r="5" spans="1:4" x14ac:dyDescent="0.25">
      <c r="A5" s="28" t="s">
        <v>44</v>
      </c>
      <c r="B5">
        <v>1788</v>
      </c>
      <c r="C5">
        <v>2669</v>
      </c>
      <c r="D5">
        <v>3637</v>
      </c>
    </row>
    <row r="6" spans="1:4" x14ac:dyDescent="0.25">
      <c r="A6" s="28" t="s">
        <v>45</v>
      </c>
      <c r="B6">
        <v>1663</v>
      </c>
      <c r="C6">
        <v>3022</v>
      </c>
      <c r="D6">
        <v>3183</v>
      </c>
    </row>
    <row r="7" spans="1:4" x14ac:dyDescent="0.25">
      <c r="A7" s="28" t="s">
        <v>46</v>
      </c>
      <c r="B7">
        <v>5205</v>
      </c>
      <c r="C7">
        <v>6712</v>
      </c>
      <c r="D7">
        <v>3788</v>
      </c>
    </row>
    <row r="8" spans="1:4" x14ac:dyDescent="0.25">
      <c r="A8" s="28" t="s">
        <v>17</v>
      </c>
      <c r="B8">
        <v>10178</v>
      </c>
      <c r="C8">
        <v>14387</v>
      </c>
      <c r="D8">
        <v>9097</v>
      </c>
    </row>
    <row r="9" spans="1:4" x14ac:dyDescent="0.25">
      <c r="A9" s="28" t="s">
        <v>48</v>
      </c>
      <c r="B9">
        <v>20356</v>
      </c>
      <c r="C9">
        <v>28774</v>
      </c>
      <c r="D9">
        <v>21982</v>
      </c>
    </row>
    <row r="11" spans="1:4" x14ac:dyDescent="0.25">
      <c r="A11">
        <f>SUM([2]Sheet1!$A$3,[2]Sheet1!$C$6)</f>
        <v>31</v>
      </c>
    </row>
    <row r="13" spans="1:4" x14ac:dyDescent="0.25">
      <c r="C13">
        <f>SUM([3]Sheet1!$B$3,[4]Sheet1!$E$11)</f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4285-BBEF-49CA-94E8-E45787904C84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277FF3-EEB7-43A6-82A9-04BB52853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Sheet2</vt:lpstr>
      <vt:lpstr>Sheet3</vt:lpstr>
      <vt:lpstr>Sheet5</vt:lpstr>
      <vt:lpstr>Sheet6</vt:lpstr>
      <vt:lpstr>Sheet4</vt:lpstr>
      <vt:lpstr>NAMEITEM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o'neil</dc:creator>
  <cp:lastModifiedBy>Meet</cp:lastModifiedBy>
  <dcterms:created xsi:type="dcterms:W3CDTF">2020-02-27T11:02:37Z</dcterms:created>
  <dcterms:modified xsi:type="dcterms:W3CDTF">2022-12-07T06:37:05Z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LA Workbook Analysis">
    <vt:lpwstr>Default (12/6/2022 6:23:27 PM)</vt:lpwstr>
  </property>
</Properties>
</file>