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 defaultThemeVersion="124226"/>
  <bookViews>
    <workbookView xWindow="120" yWindow="135" windowWidth="15480" windowHeight="11640" tabRatio="918"/>
  </bookViews>
  <sheets>
    <sheet name="Formula" sheetId="1" r:id="rId1"/>
    <sheet name="Maximum Value" sheetId="2" r:id="rId2"/>
    <sheet name="Keyword" sheetId="3" r:id="rId3"/>
    <sheet name="Chart" sheetId="4" r:id="rId4"/>
    <sheet name="Hidden Row" sheetId="5" r:id="rId5"/>
    <sheet name="XML Import" sheetId="35" r:id="rId6"/>
    <sheet name="Hidden Column" sheetId="6" r:id="rId7"/>
    <sheet name="Hidden Sheet" sheetId="7" state="hidden" r:id="rId8"/>
    <sheet name="Very Hiddent Sheet" sheetId="8" state="veryHidden" r:id="rId9"/>
    <sheet name="Condition Formatting" sheetId="36" r:id="rId10"/>
    <sheet name="Name Range Item" sheetId="9" r:id="rId11"/>
    <sheet name="Access Queries" sheetId="10" r:id="rId12"/>
    <sheet name="SQL Queries" sheetId="11" r:id="rId13"/>
    <sheet name="From Web" sheetId="12" r:id="rId14"/>
    <sheet name="From Text" sheetId="13" r:id="rId15"/>
    <sheet name="Protect Sheet" sheetId="33" r:id="rId16"/>
    <sheet name="Invisible Cells" sheetId="14" r:id="rId17"/>
    <sheet name="External links" sheetId="15" r:id="rId18"/>
    <sheet name="VAlidated Cells" sheetId="16" r:id="rId19"/>
    <sheet name="Errors" sheetId="17" r:id="rId20"/>
    <sheet name="Test" sheetId="19" r:id="rId21"/>
    <sheet name="Pvot Table" sheetId="21" r:id="rId22"/>
    <sheet name="Date and Time Format" sheetId="34" r:id="rId23"/>
  </sheets>
  <externalReferences>
    <externalReference r:id="rId24"/>
    <externalReference r:id="rId25"/>
    <externalReference r:id="rId26"/>
    <externalReference r:id="rId27"/>
  </externalReferences>
  <definedNames>
    <definedName name="_2_Darshan" localSheetId="11" hidden="1">'Access Queries'!$A$1:$AJ$3</definedName>
    <definedName name="IP_Fidelity" localSheetId="14">'From Text'!$A$1:$B$13</definedName>
    <definedName name="NameRange1">'Name Range Item'!$A$7</definedName>
    <definedName name="SheetNameRange" localSheetId="10">'Name Range Item'!$A$4</definedName>
    <definedName name="Sql2008_XLRISK600REL_USER_MASTER" localSheetId="12" hidden="1">'SQL Queries'!$A$1:$V$44</definedName>
    <definedName name="TestAudit">Formula!$D$18:$D$24</definedName>
    <definedName name="TodayTaskDetail" localSheetId="13">'From Web'!$A$1:$J$25</definedName>
    <definedName name="XL_Dictator" localSheetId="5">'XML Import'!$A$1:$C$46</definedName>
  </definedNames>
  <calcPr calcId="144525"/>
  <pivotCaches>
    <pivotCache cacheId="0" r:id="rId28"/>
  </pivotCaches>
</workbook>
</file>

<file path=xl/calcChain.xml><?xml version="1.0" encoding="utf-8"?>
<calcChain xmlns="http://schemas.openxmlformats.org/spreadsheetml/2006/main">
  <c r="E10" i="1" l="1"/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4" i="1"/>
  <c r="K7" i="1"/>
  <c r="E6" i="3" l="1"/>
  <c r="B72" i="1" l="1"/>
  <c r="B76" i="1" l="1"/>
  <c r="D15" i="1"/>
  <c r="A1" i="15" l="1"/>
  <c r="C5" i="34"/>
  <c r="B5" i="34"/>
  <c r="C3" i="34"/>
  <c r="B3" i="34"/>
  <c r="C60" i="1"/>
  <c r="E63" i="33"/>
  <c r="B60" i="33" s="1"/>
  <c r="E58" i="33"/>
  <c r="C58" i="33"/>
  <c r="B48" i="33"/>
  <c r="B47" i="33"/>
  <c r="G36" i="33"/>
  <c r="B35" i="33"/>
  <c r="E32" i="33"/>
  <c r="E30" i="33"/>
  <c r="G26" i="33"/>
  <c r="I24" i="33"/>
  <c r="I23" i="33"/>
  <c r="D21" i="33"/>
  <c r="D17" i="33"/>
  <c r="D10" i="33"/>
  <c r="E3" i="33"/>
  <c r="D3" i="33"/>
  <c r="C3" i="33"/>
  <c r="B3" i="33"/>
  <c r="A3" i="33"/>
  <c r="C8" i="33" a="1"/>
  <c r="C8" i="33" s="1"/>
  <c r="D12" i="33" s="1"/>
  <c r="D14" i="33" s="1"/>
  <c r="E63" i="1"/>
  <c r="B60" i="1" s="1"/>
  <c r="E58" i="1"/>
  <c r="C58" i="1"/>
  <c r="B67" i="1"/>
  <c r="B74" i="1" s="1"/>
  <c r="B48" i="1"/>
  <c r="B47" i="1"/>
  <c r="G36" i="1"/>
  <c r="B35" i="1"/>
  <c r="E32" i="1"/>
  <c r="E30" i="1"/>
  <c r="D9" i="2"/>
  <c r="E21" i="19"/>
  <c r="A2" i="15"/>
  <c r="G26" i="1"/>
  <c r="I24" i="1"/>
  <c r="I23" i="1"/>
  <c r="D21" i="1"/>
  <c r="B37" i="1"/>
  <c r="E3" i="1"/>
  <c r="D10" i="1"/>
  <c r="D3" i="1"/>
  <c r="C3" i="1"/>
  <c r="F15" i="1" s="1"/>
  <c r="B8" i="17"/>
  <c r="B7" i="17"/>
  <c r="B5" i="17"/>
  <c r="B4" i="17"/>
  <c r="B3" i="17"/>
  <c r="B2" i="17"/>
  <c r="B3" i="1"/>
  <c r="A3" i="1"/>
  <c r="C8" i="1" s="1"/>
  <c r="D12" i="1" s="1"/>
  <c r="D14" i="1" s="1"/>
  <c r="D17" i="1"/>
  <c r="D25" i="1" s="1"/>
  <c r="B37" i="33"/>
  <c r="I16" i="1"/>
  <c r="B6" i="17"/>
  <c r="B82" i="1" l="1"/>
  <c r="B80" i="1"/>
  <c r="B84" i="1" s="1"/>
  <c r="C46" i="33"/>
  <c r="C46" i="1"/>
  <c r="E46" i="33"/>
  <c r="B46" i="33"/>
  <c r="E46" i="1"/>
  <c r="B46" i="1"/>
</calcChain>
</file>

<file path=xl/comments1.xml><?xml version="1.0" encoding="utf-8"?>
<comments xmlns="http://schemas.openxmlformats.org/spreadsheetml/2006/main">
  <authors>
    <author>darshan</author>
  </authors>
  <commentList>
    <comment ref="B34" authorId="0">
      <text>
        <r>
          <rPr>
            <b/>
            <sz val="8"/>
            <color indexed="81"/>
            <rFont val="Tahoma"/>
            <family val="2"/>
          </rPr>
          <t>darshan:</t>
        </r>
        <r>
          <rPr>
            <sz val="8"/>
            <color indexed="81"/>
            <rFont val="Tahoma"/>
            <family val="2"/>
          </rPr>
          <t xml:space="preserve">
1</t>
        </r>
      </text>
    </comment>
    <comment ref="C34" authorId="0">
      <text>
        <r>
          <rPr>
            <b/>
            <sz val="8"/>
            <color indexed="81"/>
            <rFont val="Tahoma"/>
            <family val="2"/>
          </rPr>
          <t>darshan:</t>
        </r>
        <r>
          <rPr>
            <sz val="8"/>
            <color indexed="81"/>
            <rFont val="Tahoma"/>
            <family val="2"/>
          </rPr>
          <t xml:space="preserve">
122</t>
        </r>
      </text>
    </comment>
    <comment ref="D34" authorId="0">
      <text/>
    </comment>
    <comment ref="E34" authorId="0">
      <text>
        <r>
          <rPr>
            <b/>
            <sz val="8"/>
            <color indexed="81"/>
            <rFont val="Tahoma"/>
            <family val="2"/>
          </rPr>
          <t>darshan:</t>
        </r>
        <r>
          <rPr>
            <sz val="8"/>
            <color indexed="81"/>
            <rFont val="Tahoma"/>
            <family val="2"/>
          </rPr>
          <t xml:space="preserve">
1</t>
        </r>
      </text>
    </comment>
  </commentList>
</comments>
</file>

<file path=xl/comments2.xml><?xml version="1.0" encoding="utf-8"?>
<comments xmlns="http://schemas.openxmlformats.org/spreadsheetml/2006/main">
  <authors>
    <author>darshan</author>
  </authors>
  <commentList>
    <comment ref="B34" authorId="0">
      <text>
        <r>
          <rPr>
            <b/>
            <sz val="8"/>
            <color indexed="81"/>
            <rFont val="Tahoma"/>
            <family val="2"/>
          </rPr>
          <t>darshan:</t>
        </r>
        <r>
          <rPr>
            <sz val="8"/>
            <color indexed="81"/>
            <rFont val="Tahoma"/>
            <family val="2"/>
          </rPr>
          <t xml:space="preserve">
1</t>
        </r>
      </text>
    </comment>
    <comment ref="C34" authorId="0">
      <text>
        <r>
          <rPr>
            <b/>
            <sz val="8"/>
            <color indexed="81"/>
            <rFont val="Tahoma"/>
            <family val="2"/>
          </rPr>
          <t>darshan:</t>
        </r>
        <r>
          <rPr>
            <sz val="8"/>
            <color indexed="81"/>
            <rFont val="Tahoma"/>
            <family val="2"/>
          </rPr>
          <t xml:space="preserve">
122</t>
        </r>
      </text>
    </comment>
    <comment ref="D34" authorId="0">
      <text/>
    </comment>
    <comment ref="E34" authorId="0">
      <text>
        <r>
          <rPr>
            <b/>
            <sz val="8"/>
            <color indexed="81"/>
            <rFont val="Tahoma"/>
            <family val="2"/>
          </rPr>
          <t>darshan:</t>
        </r>
        <r>
          <rPr>
            <sz val="8"/>
            <color indexed="81"/>
            <rFont val="Tahoma"/>
            <family val="2"/>
          </rPr>
          <t xml:space="preserve">
1</t>
        </r>
      </text>
    </comment>
  </commentList>
</comments>
</file>

<file path=xl/connections.xml><?xml version="1.0" encoding="utf-8"?>
<connections xmlns="http://schemas.openxmlformats.org/spreadsheetml/2006/main">
  <connection id="1" sourceFile="\\xlriskserver\Search After Access Date\2_Darshan.mdb" keepAlive="1" name="2_Darshan" type="5" refreshedVersion="4" background="1" saveData="1">
    <dbPr connection="Provider=Microsoft.ACE.OLEDB.12.0;User ID=Admin;Data Source=\\xlriskserver\Search After Access Date\2_Darshan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Mailing List" commandType="3"/>
  </connection>
  <connection id="2" name="Connection" type="4" refreshedVersion="4" background="1" saveData="1">
    <webPr sourceData="1" parsePre="1" consecutive="1" xl2000="1" url="http://releaseserver/dpr/TodayTaskDetail.aspx"/>
  </connection>
  <connection id="3" name="IP Fidelity" type="6" refreshedVersion="4" background="1" saveData="1">
    <textPr codePage="437" sourceFile="\\darshan\DArshan\IP Fidelity.txt">
      <textFields count="2">
        <textField/>
        <textField/>
      </textFields>
    </textPr>
  </connection>
  <connection id="4" odcFile="C:\Users\darshan\Documents\My Data Sources\Sql2008 XLRISK600REL USER_MASTER.odc" keepAlive="1" name="Sql2008 XLRISK600REL USER_MASTER" type="5" refreshedVersion="4" background="1" saveData="1">
    <dbPr connection="Provider=SQLOLEDB.1;Persist Security Info=True;User ID=XLRisk;Initial Catalog=XLRISK600REL;Data Source=Sql2008;Use Procedure for Prepare=1;Auto Translate=True;Packet Size=4096;Workstation ID=DARSHAN;Use Encryption for Data=False;Tag with column collation when possible=False" command="&quot;XLRISK600REL&quot;.&quot;dbo&quot;.&quot;USER_MASTER&quot;" commandType="3"/>
  </connection>
  <connection id="5" name="XL-Dictator" type="4" refreshedVersion="4" background="1" saveData="1">
    <webPr xml="1" sourceData="1" parsePre="1" consecutive="1" xl2000="1" url="\\DARSHAN\Shared\darshan\XMLSamples\XL-Dictator.xml" htmlTables="1"/>
  </connection>
</connections>
</file>

<file path=xl/sharedStrings.xml><?xml version="1.0" encoding="utf-8"?>
<sst xmlns="http://schemas.openxmlformats.org/spreadsheetml/2006/main" count="587" uniqueCount="310">
  <si>
    <t>Rs in Billion</t>
  </si>
  <si>
    <t>Password</t>
  </si>
  <si>
    <t>abc@123</t>
  </si>
  <si>
    <t>Sn</t>
  </si>
  <si>
    <t xml:space="preserve">Name </t>
  </si>
  <si>
    <t>Mark</t>
  </si>
  <si>
    <t>A</t>
  </si>
  <si>
    <t>B</t>
  </si>
  <si>
    <t>C</t>
  </si>
  <si>
    <t>MailingListID</t>
  </si>
  <si>
    <t>Prefix</t>
  </si>
  <si>
    <t>FirstName</t>
  </si>
  <si>
    <t>MiddleName</t>
  </si>
  <si>
    <t>LastName</t>
  </si>
  <si>
    <t>Suffix</t>
  </si>
  <si>
    <t>Nickname</t>
  </si>
  <si>
    <t>Title</t>
  </si>
  <si>
    <t>OrganizationName</t>
  </si>
  <si>
    <t>Address</t>
  </si>
  <si>
    <t>City</t>
  </si>
  <si>
    <t>State</t>
  </si>
  <si>
    <t>Region</t>
  </si>
  <si>
    <t>PostalCode</t>
  </si>
  <si>
    <t>Country/Region</t>
  </si>
  <si>
    <t>HomePhone</t>
  </si>
  <si>
    <t>WorkPhone</t>
  </si>
  <si>
    <t>MobilePhone</t>
  </si>
  <si>
    <t>FaxNumber</t>
  </si>
  <si>
    <t>AlternativePhone</t>
  </si>
  <si>
    <t>EmailAddress</t>
  </si>
  <si>
    <t>CompuServeID</t>
  </si>
  <si>
    <t>Birthdate</t>
  </si>
  <si>
    <t>Nationality</t>
  </si>
  <si>
    <t>EmrgcyContactName</t>
  </si>
  <si>
    <t>EmrgcyContactPhone</t>
  </si>
  <si>
    <t>DateUpdated</t>
  </si>
  <si>
    <t>MembershipStatus</t>
  </si>
  <si>
    <t>DateJoined</t>
  </si>
  <si>
    <t>PledgeAmount</t>
  </si>
  <si>
    <t>PledgePaidDate</t>
  </si>
  <si>
    <t>DuesAmount</t>
  </si>
  <si>
    <t>DuesPaidDate</t>
  </si>
  <si>
    <t>Hobbies</t>
  </si>
  <si>
    <t>HealthIssues</t>
  </si>
  <si>
    <t>Notes</t>
  </si>
  <si>
    <t>USERID</t>
  </si>
  <si>
    <t>USERNAME</t>
  </si>
  <si>
    <t>USERPWD</t>
  </si>
  <si>
    <t>USERFULLNAME</t>
  </si>
  <si>
    <t>USEREMAILID</t>
  </si>
  <si>
    <t>LASTPWDAGINGDATE</t>
  </si>
  <si>
    <t>AGINGPERIOD</t>
  </si>
  <si>
    <t>ACCOUNTSTATUS</t>
  </si>
  <si>
    <t>DISABLEUPTODATE</t>
  </si>
  <si>
    <t>DISABLEREASON</t>
  </si>
  <si>
    <t>LASTLOGINTIME</t>
  </si>
  <si>
    <t>LASTLOGOUTTIME</t>
  </si>
  <si>
    <t>SESSIONNUMBER</t>
  </si>
  <si>
    <t>SESSIONTIME</t>
  </si>
  <si>
    <t>MAXFAILUREATTEMPT</t>
  </si>
  <si>
    <t>DISABLEPERIODFORFAILURE</t>
  </si>
  <si>
    <t>FAILURENOTIFICATIONTO</t>
  </si>
  <si>
    <t>FAILURECOUNTFORNOTIFICATION</t>
  </si>
  <si>
    <t>LASTNOTIFICATIONTIME</t>
  </si>
  <si>
    <t>USERTYPE</t>
  </si>
  <si>
    <t>DELETESTATUS</t>
  </si>
  <si>
    <t>DomainID</t>
  </si>
  <si>
    <t>Admin</t>
  </si>
  <si>
    <t>599551569105538588568588</t>
  </si>
  <si>
    <t>Administrator</t>
  </si>
  <si>
    <t>admin@csipl.com</t>
  </si>
  <si>
    <t>E</t>
  </si>
  <si>
    <t/>
  </si>
  <si>
    <t>N</t>
  </si>
  <si>
    <t>mrunal</t>
  </si>
  <si>
    <t>Mrunal Choksi</t>
  </si>
  <si>
    <t>mrunal@csipl.com</t>
  </si>
  <si>
    <t>R</t>
  </si>
  <si>
    <t>b'wiliam09</t>
  </si>
  <si>
    <t>b'wiliam</t>
  </si>
  <si>
    <t>b'wiliam@csipl.com</t>
  </si>
  <si>
    <t>margi</t>
  </si>
  <si>
    <t>Margi</t>
  </si>
  <si>
    <t>margi@csipl.com</t>
  </si>
  <si>
    <t>amit</t>
  </si>
  <si>
    <t>Amit Trivedi</t>
  </si>
  <si>
    <t>amit@csipl.com</t>
  </si>
  <si>
    <t>darshan</t>
  </si>
  <si>
    <t>Darshan Barodia</t>
  </si>
  <si>
    <t>darshan@csipl.com</t>
  </si>
  <si>
    <t>mohtasim</t>
  </si>
  <si>
    <t>rmawala Mohtasim</t>
  </si>
  <si>
    <t>mohtasim@csipl.com</t>
  </si>
  <si>
    <t>dhavalPanchanl</t>
  </si>
  <si>
    <t>dhaval panchal</t>
  </si>
  <si>
    <t>dhaval@csipl.com</t>
  </si>
  <si>
    <t>d.patel</t>
  </si>
  <si>
    <t>dpatel</t>
  </si>
  <si>
    <t>d.patel@csipl.com</t>
  </si>
  <si>
    <t>tjxtest</t>
  </si>
  <si>
    <t>lakshmi</t>
  </si>
  <si>
    <t>lakshmi tharani</t>
  </si>
  <si>
    <t>lakshmi@csipl.com</t>
  </si>
  <si>
    <t>nilesh</t>
  </si>
  <si>
    <t>nilesh panchal</t>
  </si>
  <si>
    <t>nilesh@csipl.com</t>
  </si>
  <si>
    <t>AJAY</t>
  </si>
  <si>
    <t>AJAY SINGH.</t>
  </si>
  <si>
    <t>AJAY@CSIPL.COM</t>
  </si>
  <si>
    <t>AJAYT</t>
  </si>
  <si>
    <t>AJAYT1@CSIPL.COM</t>
  </si>
  <si>
    <t>ANAND</t>
  </si>
  <si>
    <t>ANAND SHAH</t>
  </si>
  <si>
    <t>ANAND@CSIPL.COM</t>
  </si>
  <si>
    <t>CIM4</t>
  </si>
  <si>
    <t>CIM4@CSIPL.COM</t>
  </si>
  <si>
    <t>LILA</t>
  </si>
  <si>
    <t>LILA DANGI.</t>
  </si>
  <si>
    <t>LILA@CSIPL.COM</t>
  </si>
  <si>
    <t>PARTH</t>
  </si>
  <si>
    <t>PARTH TRIVEDI</t>
  </si>
  <si>
    <t>PARTH@CSIPL.COM</t>
  </si>
  <si>
    <t>D</t>
  </si>
  <si>
    <t>SUBHASH</t>
  </si>
  <si>
    <t>SUBHASH@CSIPL.COM</t>
  </si>
  <si>
    <t>VIRENDRA</t>
  </si>
  <si>
    <t>VIRENDRA YADAV</t>
  </si>
  <si>
    <t>VIRENDRA@CSIPL.COM</t>
  </si>
  <si>
    <t>KETAN</t>
  </si>
  <si>
    <t>KETAN@CSIPL.COM</t>
  </si>
  <si>
    <t>RUCHITA</t>
  </si>
  <si>
    <t>RUCHITA DELIWALA</t>
  </si>
  <si>
    <t>RUCHITA@CSIPL.COM</t>
  </si>
  <si>
    <t>ANKIT</t>
  </si>
  <si>
    <t>ANKIT@CSIPL.COM</t>
  </si>
  <si>
    <t>APATEL</t>
  </si>
  <si>
    <t>APATEL@CSIPL.COM</t>
  </si>
  <si>
    <t>IWAM_RELEASESERVER</t>
  </si>
  <si>
    <t>CIM3</t>
  </si>
  <si>
    <t>CIM3@CSIPL.COM</t>
  </si>
  <si>
    <t>ADAVE</t>
  </si>
  <si>
    <t>ANIL DAVE.</t>
  </si>
  <si>
    <t>ADAVE1@CSIPL.COM</t>
  </si>
  <si>
    <t>ADMIN123</t>
  </si>
  <si>
    <t>PTELAVIYA</t>
  </si>
  <si>
    <t>PRATIK TELAVIYA</t>
  </si>
  <si>
    <t>PTELAVIYA@CSIPL.COM</t>
  </si>
  <si>
    <t>JOHN</t>
  </si>
  <si>
    <t>JOHN SMITH</t>
  </si>
  <si>
    <t>JOHN@CSIPL.COM</t>
  </si>
  <si>
    <t>RÜHRSTÄRKEA</t>
  </si>
  <si>
    <t>!__#$%^ &amp;_()___</t>
  </si>
  <si>
    <t>!@\\\#$%^ &amp;*()_\\\+</t>
  </si>
  <si>
    <t>NBROWN</t>
  </si>
  <si>
    <t>NANCY BROWN</t>
  </si>
  <si>
    <t>NBROWN@CSIPL.COM</t>
  </si>
  <si>
    <t>__A</t>
  </si>
  <si>
    <t>\\A</t>
  </si>
  <si>
    <t>__B</t>
  </si>
  <si>
    <t>\\\\B</t>
  </si>
  <si>
    <t>DHARMESH</t>
  </si>
  <si>
    <t>DHARMESH@CSIPL.COM</t>
  </si>
  <si>
    <t>Test1</t>
  </si>
  <si>
    <t>572</t>
  </si>
  <si>
    <t>t1</t>
  </si>
  <si>
    <t>hardikj1@csipl.com</t>
  </si>
  <si>
    <t>122586</t>
  </si>
  <si>
    <t>test@csipl.com</t>
  </si>
  <si>
    <t>S1</t>
  </si>
  <si>
    <t>579</t>
  </si>
  <si>
    <t>S</t>
  </si>
  <si>
    <t>S@CSIPL.COM</t>
  </si>
  <si>
    <t>s2</t>
  </si>
  <si>
    <t>580567</t>
  </si>
  <si>
    <t>S2</t>
  </si>
  <si>
    <t>S2@CSIPL.COM</t>
  </si>
  <si>
    <t>TEST</t>
  </si>
  <si>
    <t>592</t>
  </si>
  <si>
    <t>TEST 1111</t>
  </si>
  <si>
    <t>TEST1@CSIPL.COM</t>
  </si>
  <si>
    <t>TEST22</t>
  </si>
  <si>
    <t>536</t>
  </si>
  <si>
    <t>TEST22222</t>
  </si>
  <si>
    <t>TEST2@CSIPL.COM</t>
  </si>
  <si>
    <t>hardikj</t>
  </si>
  <si>
    <t>Hardik D. Jariwala</t>
  </si>
  <si>
    <t>hardikj@csipl.com</t>
  </si>
  <si>
    <t xml:space="preserve">Darshan </t>
  </si>
  <si>
    <t>Today's Tasks</t>
  </si>
  <si>
    <t>My Reports</t>
  </si>
  <si>
    <t>Reports By Users</t>
  </si>
  <si>
    <t>All Reports</t>
  </si>
  <si>
    <t>User Management</t>
  </si>
  <si>
    <t>Settings</t>
  </si>
  <si>
    <t>Change Password</t>
  </si>
  <si>
    <t>Logout</t>
  </si>
  <si>
    <t>Help</t>
  </si>
  <si>
    <t>Tasks scheduled for Tuesday, November 26, 2013</t>
  </si>
  <si>
    <t>Â© Copyright 2005 CIMCON Software, Inc. All rights reserved.</t>
  </si>
  <si>
    <t xml:space="preserve">  &lt;add key="AT For NumberFormatChange" value="False"/&gt;</t>
  </si>
  <si>
    <t>Check IF yes then Verify False else Add</t>
  </si>
  <si>
    <t>&lt;add key="AT for VBA protected File" value="True"/&gt;</t>
  </si>
  <si>
    <t>&lt;add key="SkipMacroCompilationCheck" value="False"/&gt;</t>
  </si>
  <si>
    <t>&lt;!-- In Minutes--&gt;</t>
  </si>
  <si>
    <t xml:space="preserve">    &lt;add key="ExcelTimeOut" value="60" /&gt;</t>
  </si>
  <si>
    <t>Add</t>
  </si>
  <si>
    <t xml:space="preserve">    &lt;add key="Optional.VBAExportTimeOut" value="10" /&gt;</t>
  </si>
  <si>
    <t>Correct Link</t>
  </si>
  <si>
    <t>Bronken Link</t>
  </si>
  <si>
    <t>Department</t>
  </si>
  <si>
    <t>VB</t>
  </si>
  <si>
    <t>a</t>
  </si>
  <si>
    <t>Array Formula</t>
  </si>
  <si>
    <t>Formula Formatted As Text</t>
  </si>
  <si>
    <t>Formula with Constatnt</t>
  </si>
  <si>
    <t>Formula with Blank Cells</t>
  </si>
  <si>
    <t>Formula With Text Cells</t>
  </si>
  <si>
    <t>Formula with Hiddent Cells</t>
  </si>
  <si>
    <t>Internal links</t>
  </si>
  <si>
    <t xml:space="preserve"> </t>
  </si>
  <si>
    <t>Fore color and back color same</t>
  </si>
  <si>
    <t>using Format Cell</t>
  </si>
  <si>
    <t>TEXT</t>
  </si>
  <si>
    <t>NUMBER</t>
  </si>
  <si>
    <t>DATE</t>
  </si>
  <si>
    <t>BOOLEAN</t>
  </si>
  <si>
    <t>No of Users</t>
  </si>
  <si>
    <t>Used in Key Processes</t>
  </si>
  <si>
    <t>Yes</t>
  </si>
  <si>
    <t>No</t>
  </si>
  <si>
    <t>Difficulty to Replace</t>
  </si>
  <si>
    <t>India</t>
  </si>
  <si>
    <t>The USA</t>
  </si>
  <si>
    <t>DOB</t>
  </si>
  <si>
    <t>Grand Total</t>
  </si>
  <si>
    <t>Count of USERNAME</t>
  </si>
  <si>
    <t>Judgemental Opinion</t>
  </si>
  <si>
    <t>Currentcy Error in Formula</t>
  </si>
  <si>
    <t>Negatively Defined Formulas</t>
  </si>
  <si>
    <t>Merged Cells</t>
  </si>
  <si>
    <t>Comments</t>
  </si>
  <si>
    <t>Nested If Formulas</t>
  </si>
  <si>
    <t>Missing Arguments In Formula</t>
  </si>
  <si>
    <t>Formulas Referring To Named Range</t>
  </si>
  <si>
    <t>Unlocked Cells</t>
  </si>
  <si>
    <t>Overlaid Shapes Lookout</t>
  </si>
  <si>
    <t>Formulas with Circular References</t>
  </si>
  <si>
    <t>Cells with Possible Rounding Errors</t>
  </si>
  <si>
    <t>Formulas with Specific Functions</t>
  </si>
  <si>
    <t>Conditional Formatting</t>
  </si>
  <si>
    <t>Value Cells Surrounded by Formula Cells</t>
  </si>
  <si>
    <t>ssfd</t>
  </si>
  <si>
    <t>Formula with Date Cell Reference</t>
  </si>
  <si>
    <t>Multiple Formula</t>
  </si>
  <si>
    <t>dgsdfged</t>
  </si>
  <si>
    <t>List</t>
  </si>
  <si>
    <t>Between</t>
  </si>
  <si>
    <t>Any Value</t>
  </si>
  <si>
    <t>Text Lenth | Warning</t>
  </si>
  <si>
    <t>Custome | Warning</t>
  </si>
  <si>
    <t>whole number</t>
  </si>
  <si>
    <t>Time | Greater than</t>
  </si>
  <si>
    <t>Date | Not equal to</t>
  </si>
  <si>
    <t>12dfsgfdsg</t>
  </si>
  <si>
    <t>ff</t>
  </si>
  <si>
    <t>12/10/2014  15:00:00 AM</t>
  </si>
  <si>
    <t>ï»¿</t>
  </si>
  <si>
    <t>&lt;customUI xmlns="http://schemas.microsoft.com/office/2006/01/customui"&gt;</t>
  </si>
  <si>
    <t>&lt;!-- **************************************************************************--&gt;</t>
  </si>
  <si>
    <t>&lt;!-- ****Disable 'Exit Excel' and 'Excel Options' on the Office button menu****--&gt;</t>
  </si>
  <si>
    <t xml:space="preserve">  &lt;commands&gt;</t>
  </si>
  <si>
    <t xml:space="preserve">  </t>
  </si>
  <si>
    <t xml:space="preserve">&lt;!-- Disable Excel Options on the Office button menu--&gt; </t>
  </si>
  <si>
    <t xml:space="preserve">&lt;command idMso="ApplicationOptionsDialog" enabled="false"/&gt; </t>
  </si>
  <si>
    <t xml:space="preserve">&lt;!-- Disable Exit Excel on the Office button menu--&gt; </t>
  </si>
  <si>
    <t xml:space="preserve">&lt;command idMso="FileExit" enabled="false"/&gt; </t>
  </si>
  <si>
    <t xml:space="preserve">  &lt;/commands&gt;</t>
  </si>
  <si>
    <t>&lt;!-- *******************************************************************--&gt;</t>
  </si>
  <si>
    <t>&lt;!-- **********Set startFromScratch to true to hide the ribbon**********--&gt;</t>
  </si>
  <si>
    <t>&lt;!-- **********Hide New, Open and Save on the Office button menu********--&gt;</t>
  </si>
  <si>
    <t xml:space="preserve">  &lt;!-- Set startFromScratch to true to hide the ribbon--&gt; </t>
  </si>
  <si>
    <t xml:space="preserve">  &lt;ribbon startFromScratch="true"&gt;</t>
  </si>
  <si>
    <t>&lt;!-- startFromScratch="true" hides all of the ribbon tabs and it hides the QAT. --&gt;</t>
  </si>
  <si>
    <t>&lt;!-- It also hides most of the commands on the Office button menu, but for some --&gt;</t>
  </si>
  <si>
    <t>&lt;!-- reason, it does not hide the 'New', 'Open' and 'Save' commands.            --&gt;</t>
  </si>
  <si>
    <t>&lt;!-- So if you want to hide them you have to add this to your RibbonX file:     --&gt;</t>
  </si>
  <si>
    <t>&lt;officeMenu&gt;</t>
  </si>
  <si>
    <t>&lt;button idMso="FileNew" visible="false"/&gt;</t>
  </si>
  <si>
    <t>&lt;button idMso="FileOpen" visible="false"/&gt;</t>
  </si>
  <si>
    <t>&lt;button idMso="FileSave" visible="false" /&gt;</t>
  </si>
  <si>
    <t xml:space="preserve">        &lt;/officeMenu&gt;</t>
  </si>
  <si>
    <t xml:space="preserve">&lt;!-- You can add xml here to create your own custom tab on the ribbon--&gt; </t>
  </si>
  <si>
    <t xml:space="preserve">  &lt;/ribbon&gt;</t>
  </si>
  <si>
    <t>&lt;/customUI&gt;</t>
  </si>
  <si>
    <t>s</t>
  </si>
  <si>
    <t>PPF</t>
  </si>
  <si>
    <t>sdf</t>
  </si>
  <si>
    <t>e</t>
  </si>
  <si>
    <t>Median</t>
  </si>
  <si>
    <t>VLookUp</t>
  </si>
  <si>
    <t>HLOOKUP</t>
  </si>
  <si>
    <t>Indirect</t>
  </si>
  <si>
    <t>SUMIF</t>
  </si>
  <si>
    <t>Look</t>
  </si>
  <si>
    <t>Billlion</t>
  </si>
  <si>
    <t>SSN</t>
  </si>
  <si>
    <t>Credit Card</t>
  </si>
  <si>
    <t>Model</t>
  </si>
  <si>
    <t>Billion</t>
  </si>
  <si>
    <t>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</si>
</sst>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;;"/>
    <numFmt numFmtId="166" formatCode="[$€-2]\ #,##0.00_);\([$€-2]\ #,##0.00\)"/>
    <numFmt numFmtId="167" formatCode=";;;"/>
    <numFmt numFmtId="168" formatCode="[$-409]h:mm\ AM/PM;@"/>
    <numFmt numFmtId="169" formatCode="[$-409]d\-mmm\-yyyy;@"/>
    <numFmt numFmtId="170" formatCode="h:mm:ss;@"/>
  </numFmts>
  <fonts count="8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164" fontId="0" fillId="0" borderId="0" xfId="0" applyNumberFormat="1"/>
    <xf numFmtId="0" fontId="6" fillId="0" borderId="0" xfId="2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0" fontId="5" fillId="0" borderId="0" xfId="0" applyFon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NumberFormat="1" applyBorder="1"/>
    <xf numFmtId="0" fontId="0" fillId="0" borderId="2" xfId="0" applyNumberFormat="1" applyBorder="1"/>
    <xf numFmtId="0" fontId="0" fillId="0" borderId="5" xfId="0" applyBorder="1"/>
    <xf numFmtId="0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3" xfId="0" applyNumberFormat="1" applyBorder="1"/>
    <xf numFmtId="0" fontId="0" fillId="0" borderId="10" xfId="0" applyNumberFormat="1" applyBorder="1"/>
    <xf numFmtId="17" fontId="0" fillId="0" borderId="0" xfId="0" applyNumberFormat="1"/>
    <xf numFmtId="7" fontId="4" fillId="0" borderId="0" xfId="1" applyNumberFormat="1" applyFont="1"/>
    <xf numFmtId="166" fontId="4" fillId="0" borderId="0" xfId="1" applyNumberFormat="1" applyFont="1"/>
    <xf numFmtId="0" fontId="6" fillId="0" borderId="0" xfId="2" applyAlignment="1" applyProtection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7" fillId="0" borderId="0" xfId="0" applyFont="1"/>
    <xf numFmtId="0" fontId="2" fillId="2" borderId="0" xfId="0" applyFont="1" applyFill="1"/>
    <xf numFmtId="0" fontId="0" fillId="0" borderId="0" xfId="0" applyProtection="1">
      <protection locked="0"/>
    </xf>
    <xf numFmtId="2" fontId="0" fillId="0" borderId="0" xfId="0" applyNumberFormat="1"/>
    <xf numFmtId="167" fontId="0" fillId="0" borderId="0" xfId="0" applyNumberFormat="1"/>
    <xf numFmtId="20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24">
    <dxf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399E-2"/>
          <c:y val="0.13418766404199475"/>
          <c:w val="0.76629024496937881"/>
          <c:h val="0.6987152230971128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Formula!$B$39:$B$42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751680"/>
        <c:axId val="189753216"/>
      </c:barChart>
      <c:catAx>
        <c:axId val="189751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753216"/>
        <c:crosses val="autoZero"/>
        <c:auto val="1"/>
        <c:lblAlgn val="ctr"/>
        <c:lblOffset val="100"/>
        <c:noMultiLvlLbl val="0"/>
      </c:catAx>
      <c:valAx>
        <c:axId val="189753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9751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Chart!$C$5</c:f>
              <c:strCache>
                <c:ptCount val="1"/>
                <c:pt idx="0">
                  <c:v>Mark</c:v>
                </c:pt>
              </c:strCache>
            </c:strRef>
          </c:tx>
          <c:invertIfNegative val="0"/>
          <c:cat>
            <c:multiLvlStrRef>
              <c:f>Chart!$A$6:$B$8</c:f>
              <c:multiLvlStrCache>
                <c:ptCount val="3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:lvl>
              </c:multiLvlStrCache>
            </c:multiLvlStrRef>
          </c:cat>
          <c:val>
            <c:numRef>
              <c:f>Chart!$C$6:$C$8</c:f>
              <c:numCache>
                <c:formatCode>General</c:formatCode>
                <c:ptCount val="3"/>
                <c:pt idx="0">
                  <c:v>11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049280"/>
        <c:axId val="190051072"/>
      </c:barChart>
      <c:catAx>
        <c:axId val="19004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0051072"/>
        <c:crosses val="autoZero"/>
        <c:auto val="1"/>
        <c:lblAlgn val="ctr"/>
        <c:lblOffset val="100"/>
        <c:noMultiLvlLbl val="0"/>
      </c:catAx>
      <c:valAx>
        <c:axId val="190051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0049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Summary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Chart!$C$5</c:f>
              <c:strCache>
                <c:ptCount val="1"/>
                <c:pt idx="0">
                  <c:v>Mark</c:v>
                </c:pt>
              </c:strCache>
            </c:strRef>
          </c:tx>
          <c:invertIfNegative val="0"/>
          <c:cat>
            <c:multiLvlStrRef>
              <c:f>Chart!$A$6:$B$8</c:f>
              <c:multiLvlStrCache>
                <c:ptCount val="3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:lvl>
              </c:multiLvlStrCache>
            </c:multiLvlStrRef>
          </c:cat>
          <c:val>
            <c:numRef>
              <c:f>Chart!$C$6:$C$8</c:f>
              <c:numCache>
                <c:formatCode>General</c:formatCode>
                <c:ptCount val="3"/>
                <c:pt idx="0">
                  <c:v>11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876480"/>
        <c:axId val="168816640"/>
      </c:barChart>
      <c:catAx>
        <c:axId val="189876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8816640"/>
        <c:crosses val="autoZero"/>
        <c:auto val="1"/>
        <c:lblAlgn val="ctr"/>
        <c:lblOffset val="100"/>
        <c:noMultiLvlLbl val="0"/>
      </c:catAx>
      <c:valAx>
        <c:axId val="1688166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9876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399E-2"/>
          <c:y val="0.13418766404199475"/>
          <c:w val="0.76629024496937881"/>
          <c:h val="0.6987152230971128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Formula!$B$39:$B$42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467072"/>
        <c:axId val="190698240"/>
      </c:barChart>
      <c:catAx>
        <c:axId val="19046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0698240"/>
        <c:crosses val="autoZero"/>
        <c:auto val="1"/>
        <c:lblAlgn val="ctr"/>
        <c:lblOffset val="100"/>
        <c:noMultiLvlLbl val="0"/>
      </c:catAx>
      <c:valAx>
        <c:axId val="190698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0467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2486025</xdr:colOff>
      <xdr:row>38</xdr:row>
      <xdr:rowOff>76200</xdr:rowOff>
    </xdr:from>
    <xdr:to>
      <xdr:col>8</xdr:col>
      <xdr:colOff>285750</xdr:colOff>
      <xdr:row>44</xdr:row>
      <xdr:rowOff>38100</xdr:rowOff>
    </xdr:to>
    <xdr:graphicFrame macro="">
      <xdr:nvGraphicFramePr>
        <xdr:cNvPr id="144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10</xdr:row>
      <xdr:rowOff>142875</xdr:rowOff>
    </xdr:from>
    <xdr:to>
      <xdr:col>13</xdr:col>
      <xdr:colOff>361950</xdr:colOff>
      <xdr:row>25</xdr:row>
      <xdr:rowOff>28575</xdr:rowOff>
    </xdr:to>
    <xdr:graphicFrame macro="">
      <xdr:nvGraphicFramePr>
        <xdr:cNvPr id="42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238125</xdr:colOff>
      <xdr:row>27</xdr:row>
      <xdr:rowOff>47625</xdr:rowOff>
    </xdr:from>
    <xdr:to>
      <xdr:col>11</xdr:col>
      <xdr:colOff>542925</xdr:colOff>
      <xdr:row>41</xdr:row>
      <xdr:rowOff>123825</xdr:rowOff>
    </xdr:to>
    <xdr:graphicFrame macro="">
      <xdr:nvGraphicFramePr>
        <xdr:cNvPr id="422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2486025</xdr:colOff>
      <xdr:row>38</xdr:row>
      <xdr:rowOff>76200</xdr:rowOff>
    </xdr:from>
    <xdr:to>
      <xdr:col>8</xdr:col>
      <xdr:colOff>285750</xdr:colOff>
      <xdr:row>44</xdr:row>
      <xdr:rowOff>38100</xdr:rowOff>
    </xdr:to>
    <xdr:graphicFrame macro="">
      <xdr:nvGraphicFramePr>
        <xdr:cNvPr id="11538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XLAudit/Audit%20File/master/File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XLAudit/Audit%20File/master/1File%202%20-%20Cop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xyz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Data"/>
      <sheetName val="Sheet2"/>
      <sheetName val="Sheet3"/>
    </sheetNames>
    <sheetDataSet>
      <sheetData sheetId="0" refreshError="1"/>
      <sheetData sheetId="1" refreshError="1">
        <row r="5291">
          <cell r="A5291">
            <v>39479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>
            <v>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A3">
            <v>3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xyz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rshan" refreshedDate="41604.621613078707" createdVersion="1" refreshedVersion="4" recordCount="21" upgradeOnRefresh="1">
  <cacheSource type="worksheet">
    <worksheetSource ref="A1:G22" sheet="SQL Queries"/>
  </cacheSource>
  <cacheFields count="7">
    <cacheField name="USERID" numFmtId="0">
      <sharedItems containsSemiMixedTypes="0" containsString="0" containsNumber="1" containsInteger="1" minValue="1" maxValue="21" count="2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</sharedItems>
    </cacheField>
    <cacheField name="USERNAME" numFmtId="0">
      <sharedItems count="21">
        <s v="Admin"/>
        <s v="mrunal"/>
        <s v="b'wiliam09"/>
        <s v="margi"/>
        <s v="amit"/>
        <s v="darshan"/>
        <s v="mohtasim"/>
        <s v="dhavalPanchanl"/>
        <s v="d.patel"/>
        <s v="tjxtest"/>
        <s v="lakshmi"/>
        <s v="nilesh"/>
        <s v="AJAY"/>
        <s v="AJAYT"/>
        <s v="ANAND"/>
        <s v="CIM4"/>
        <s v="LILA"/>
        <s v="PARTH"/>
        <s v="SUBHASH"/>
        <s v="VIRENDRA"/>
        <s v="KETAN"/>
      </sharedItems>
    </cacheField>
    <cacheField name="USERPWD" numFmtId="0">
      <sharedItems/>
    </cacheField>
    <cacheField name="USERFULLNAME" numFmtId="0">
      <sharedItems/>
    </cacheField>
    <cacheField name="USEREMAILID" numFmtId="0">
      <sharedItems/>
    </cacheField>
    <cacheField name="LASTPWDAGINGDATE" numFmtId="0">
      <sharedItems containsSemiMixedTypes="0" containsNonDate="0" containsDate="1" containsString="0" minDate="2013-05-24T17:34:32" maxDate="2013-11-22T18:23:23"/>
    </cacheField>
    <cacheField name="AGINGPERIOD" numFmtId="0">
      <sharedItems containsSemiMixedTypes="0" containsString="0" containsNumber="1" containsInteger="1" minValue="3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x v="0"/>
    <x v="0"/>
    <s v="599551569105538588568588"/>
    <s v="Administrator"/>
    <s v="admin@csipl.com"/>
    <d v="2013-11-22T18:23:23"/>
    <n v="30"/>
  </r>
  <r>
    <x v="1"/>
    <x v="1"/>
    <s v=""/>
    <s v="Mrunal Choksi"/>
    <s v="mrunal@csipl.com"/>
    <d v="2013-05-24T17:34:32"/>
    <n v="30"/>
  </r>
  <r>
    <x v="2"/>
    <x v="2"/>
    <s v=""/>
    <s v="b'wiliam"/>
    <s v="b'wiliam@csipl.com"/>
    <d v="2013-05-24T17:34:33"/>
    <n v="30"/>
  </r>
  <r>
    <x v="3"/>
    <x v="3"/>
    <s v=""/>
    <s v="Margi"/>
    <s v="margi@csipl.com"/>
    <d v="2013-05-24T17:34:33"/>
    <n v="30"/>
  </r>
  <r>
    <x v="4"/>
    <x v="4"/>
    <s v=""/>
    <s v="Amit Trivedi"/>
    <s v="amit@csipl.com"/>
    <d v="2013-05-24T17:34:33"/>
    <n v="30"/>
  </r>
  <r>
    <x v="5"/>
    <x v="5"/>
    <s v=""/>
    <s v="Darshan Barodia"/>
    <s v="darshan@csipl.com"/>
    <d v="2013-05-24T17:34:34"/>
    <n v="30"/>
  </r>
  <r>
    <x v="6"/>
    <x v="6"/>
    <s v=""/>
    <s v="rmawala Mohtasim"/>
    <s v="mohtasim@csipl.com"/>
    <d v="2013-05-24T17:35:10"/>
    <n v="30"/>
  </r>
  <r>
    <x v="7"/>
    <x v="7"/>
    <s v=""/>
    <s v="dhaval panchal"/>
    <s v="dhaval@csipl.com"/>
    <d v="2013-05-25T10:22:14"/>
    <n v="30"/>
  </r>
  <r>
    <x v="8"/>
    <x v="8"/>
    <s v=""/>
    <s v="dpatel"/>
    <s v="d.patel@csipl.com"/>
    <d v="2013-05-25T10:26:31"/>
    <n v="30"/>
  </r>
  <r>
    <x v="9"/>
    <x v="9"/>
    <s v=""/>
    <s v="tjxtest"/>
    <s v=""/>
    <d v="2013-05-25T10:26:31"/>
    <n v="30"/>
  </r>
  <r>
    <x v="10"/>
    <x v="10"/>
    <s v=""/>
    <s v="lakshmi tharani"/>
    <s v="lakshmi@csipl.com"/>
    <d v="2013-07-15T14:22:38"/>
    <n v="30"/>
  </r>
  <r>
    <x v="11"/>
    <x v="11"/>
    <s v=""/>
    <s v="nilesh panchal"/>
    <s v="nilesh@csipl.com"/>
    <d v="2013-07-22T14:35:59"/>
    <n v="30"/>
  </r>
  <r>
    <x v="12"/>
    <x v="12"/>
    <s v=""/>
    <s v="AJAY SINGH."/>
    <s v="AJAY@CSIPL.COM"/>
    <d v="2013-09-24T13:42:08"/>
    <n v="30"/>
  </r>
  <r>
    <x v="13"/>
    <x v="13"/>
    <s v=""/>
    <s v="AJAYT"/>
    <s v="AJAYT1@CSIPL.COM"/>
    <d v="2013-09-24T12:03:04"/>
    <n v="30"/>
  </r>
  <r>
    <x v="14"/>
    <x v="14"/>
    <s v=""/>
    <s v="ANAND SHAH"/>
    <s v="ANAND@CSIPL.COM"/>
    <d v="2013-09-03T15:43:53"/>
    <n v="30"/>
  </r>
  <r>
    <x v="15"/>
    <x v="15"/>
    <s v=""/>
    <s v="CIM4"/>
    <s v="CIM4@CSIPL.COM"/>
    <d v="2013-09-04T17:45:47"/>
    <n v="30"/>
  </r>
  <r>
    <x v="16"/>
    <x v="16"/>
    <s v=""/>
    <s v="LILA DANGI."/>
    <s v="LILA@CSIPL.COM"/>
    <d v="2013-09-04T17:51:09"/>
    <n v="30"/>
  </r>
  <r>
    <x v="17"/>
    <x v="17"/>
    <s v=""/>
    <s v="PARTH TRIVEDI"/>
    <s v="PARTH@CSIPL.COM"/>
    <d v="2013-09-05T10:01:22"/>
    <n v="30"/>
  </r>
  <r>
    <x v="18"/>
    <x v="18"/>
    <s v=""/>
    <s v="SUBHASH"/>
    <s v="SUBHASH@CSIPL.COM"/>
    <d v="2013-09-05T10:07:37"/>
    <n v="30"/>
  </r>
  <r>
    <x v="19"/>
    <x v="19"/>
    <s v=""/>
    <s v="VIRENDRA YADAV"/>
    <s v="VIRENDRA@CSIPL.COM"/>
    <d v="2013-09-05T10:16:32"/>
    <n v="30"/>
  </r>
  <r>
    <x v="20"/>
    <x v="20"/>
    <s v=""/>
    <s v="KETAN"/>
    <s v="KETAN@CSIPL.COM"/>
    <d v="2013-09-05T10:18:17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OnRows="1" applyNumberFormats="0" applyBorderFormats="0" applyFontFormats="0" applyPatternFormats="0" applyAlignmentFormats="0" applyWidthHeightFormats="1" dataCaption="Data" updatedVersion="4" showItems="0" showMultipleLabel="0" showMemberPropertyTips="0" useAutoFormatting="1" itemPrintTitles="1" showDropZones="0" indent="0" compact="0" compactData="0" gridDropZones="1">
  <location ref="A1:W24" firstHeaderRow="1" firstDataRow="2" firstDataCol="1"/>
  <pivotFields count="7">
    <pivotField axis="axisCol" compact="0" outline="0" subtotalTop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dataField="1" compact="0" outline="0" subtotalTop="0" showAll="0" includeNewItemsInFilter="1">
      <items count="22">
        <item x="0"/>
        <item x="12"/>
        <item x="13"/>
        <item x="4"/>
        <item x="14"/>
        <item x="2"/>
        <item x="15"/>
        <item x="8"/>
        <item x="5"/>
        <item x="7"/>
        <item x="20"/>
        <item x="10"/>
        <item x="16"/>
        <item x="3"/>
        <item x="6"/>
        <item x="1"/>
        <item x="11"/>
        <item x="17"/>
        <item x="18"/>
        <item x="9"/>
        <item x="19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2" outline="0" subtotalTop="0" showAll="0" includeNewItemsInFilter="1"/>
    <pivotField compact="0" outline="0" subtotalTop="0" showAll="0" includeNewItemsInFilter="1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Count of USERNAME" fld="1" subtotal="count" baseField="0" baseItem="0"/>
  </dataFields>
  <pivotTableStyleInfo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XL-Dictator" connectionId="5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2_Darshan" connectionId="1" autoFormatId="16" applyNumberFormats="0" applyBorderFormats="0" applyFontFormats="0" applyPatternFormats="0" applyAlignmentFormats="0" applyWidthHeightFormats="0">
  <queryTableRefresh nextId="37">
    <queryTableFields count="36">
      <queryTableField id="1" name="MailingListID" tableColumnId="1"/>
      <queryTableField id="2" name="Prefix" tableColumnId="2"/>
      <queryTableField id="3" name="FirstName" tableColumnId="3"/>
      <queryTableField id="4" name="MiddleName" tableColumnId="4"/>
      <queryTableField id="5" name="LastName" tableColumnId="5"/>
      <queryTableField id="6" name="Suffix" tableColumnId="6"/>
      <queryTableField id="7" name="Nickname" tableColumnId="7"/>
      <queryTableField id="8" name="Title" tableColumnId="8"/>
      <queryTableField id="9" name="OrganizationName" tableColumnId="9"/>
      <queryTableField id="10" name="Address" tableColumnId="10"/>
      <queryTableField id="11" name="City" tableColumnId="11"/>
      <queryTableField id="12" name="State" tableColumnId="12"/>
      <queryTableField id="13" name="Region" tableColumnId="13"/>
      <queryTableField id="14" name="PostalCode" tableColumnId="14"/>
      <queryTableField id="15" name="Country/Region" tableColumnId="15"/>
      <queryTableField id="16" name="HomePhone" tableColumnId="16"/>
      <queryTableField id="17" name="WorkPhone" tableColumnId="17"/>
      <queryTableField id="18" name="MobilePhone" tableColumnId="18"/>
      <queryTableField id="19" name="FaxNumber" tableColumnId="19"/>
      <queryTableField id="20" name="AlternativePhone" tableColumnId="20"/>
      <queryTableField id="21" name="EmailAddress" tableColumnId="21"/>
      <queryTableField id="22" name="CompuServeID" tableColumnId="22"/>
      <queryTableField id="23" name="Birthdate" tableColumnId="23"/>
      <queryTableField id="24" name="Nationality" tableColumnId="24"/>
      <queryTableField id="25" name="EmrgcyContactName" tableColumnId="25"/>
      <queryTableField id="26" name="EmrgcyContactPhone" tableColumnId="26"/>
      <queryTableField id="27" name="DateUpdated" tableColumnId="27"/>
      <queryTableField id="28" name="MembershipStatus" tableColumnId="28"/>
      <queryTableField id="29" name="DateJoined" tableColumnId="29"/>
      <queryTableField id="30" name="PledgeAmount" tableColumnId="30"/>
      <queryTableField id="31" name="PledgePaidDate" tableColumnId="31"/>
      <queryTableField id="32" name="DuesAmount" tableColumnId="32"/>
      <queryTableField id="33" name="DuesPaidDate" tableColumnId="33"/>
      <queryTableField id="34" name="Hobbies" tableColumnId="34"/>
      <queryTableField id="35" name="HealthIssues" tableColumnId="35"/>
      <queryTableField id="36" name="Notes" tableColumnId="36"/>
    </queryTableFields>
  </queryTableRefresh>
</queryTable>
</file>

<file path=xl/queryTables/queryTable3.xml><?xml version="1.0" encoding="utf-8"?>
<queryTable xmlns="http://schemas.openxmlformats.org/spreadsheetml/2006/main" name="Sql2008 XLRISK600REL USER_MASTER" connectionId="4" autoFormatId="16" applyNumberFormats="0" applyBorderFormats="0" applyFontFormats="0" applyPatternFormats="0" applyAlignmentFormats="0" applyWidthHeightFormats="0">
  <queryTableRefresh nextId="23">
    <queryTableFields count="22">
      <queryTableField id="1" name="USERID" tableColumnId="1"/>
      <queryTableField id="2" name="USERNAME" tableColumnId="2"/>
      <queryTableField id="3" name="USERPWD" tableColumnId="3"/>
      <queryTableField id="4" name="USERFULLNAME" tableColumnId="4"/>
      <queryTableField id="5" name="USEREMAILID" tableColumnId="5"/>
      <queryTableField id="6" name="LASTPWDAGINGDATE" tableColumnId="6"/>
      <queryTableField id="7" name="AGINGPERIOD" tableColumnId="7"/>
      <queryTableField id="8" name="ACCOUNTSTATUS" tableColumnId="8"/>
      <queryTableField id="9" name="DISABLEUPTODATE" tableColumnId="9"/>
      <queryTableField id="10" name="DISABLEREASON" tableColumnId="10"/>
      <queryTableField id="11" name="LASTLOGINTIME" tableColumnId="11"/>
      <queryTableField id="12" name="LASTLOGOUTTIME" tableColumnId="12"/>
      <queryTableField id="13" name="SESSIONNUMBER" tableColumnId="13"/>
      <queryTableField id="14" name="SESSIONTIME" tableColumnId="14"/>
      <queryTableField id="15" name="MAXFAILUREATTEMPT" tableColumnId="15"/>
      <queryTableField id="16" name="DISABLEPERIODFORFAILURE" tableColumnId="16"/>
      <queryTableField id="17" name="FAILURENOTIFICATIONTO" tableColumnId="17"/>
      <queryTableField id="18" name="FAILURECOUNTFORNOTIFICATION" tableColumnId="18"/>
      <queryTableField id="19" name="LASTNOTIFICATIONTIME" tableColumnId="19"/>
      <queryTableField id="20" name="USERTYPE" tableColumnId="20"/>
      <queryTableField id="21" name="DELETESTATUS" tableColumnId="21"/>
      <queryTableField id="22" name="DomainID" tableColumnId="22"/>
    </queryTableFields>
  </queryTableRefresh>
</queryTable>
</file>

<file path=xl/queryTables/queryTable4.xml><?xml version="1.0" encoding="utf-8"?>
<queryTable xmlns="http://schemas.openxmlformats.org/spreadsheetml/2006/main" name="TodayTaskDetail" connectionId="2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IP Fidelity" connectionId="3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Table__2_Darshan" displayName="Table__2_Darshan" ref="A1:AJ3" tableType="queryTable" totalsRowShown="0">
  <autoFilter ref="A1:AJ3"/>
  <tableColumns count="36">
    <tableColumn id="1" uniqueName="1" name="MailingListID" queryTableFieldId="1"/>
    <tableColumn id="2" uniqueName="2" name="Prefix" queryTableFieldId="2"/>
    <tableColumn id="3" uniqueName="3" name="FirstName" queryTableFieldId="3"/>
    <tableColumn id="4" uniqueName="4" name="MiddleName" queryTableFieldId="4"/>
    <tableColumn id="5" uniqueName="5" name="LastName" queryTableFieldId="5"/>
    <tableColumn id="6" uniqueName="6" name="Suffix" queryTableFieldId="6"/>
    <tableColumn id="7" uniqueName="7" name="Nickname" queryTableFieldId="7"/>
    <tableColumn id="8" uniqueName="8" name="Title" queryTableFieldId="8"/>
    <tableColumn id="9" uniqueName="9" name="OrganizationName" queryTableFieldId="9"/>
    <tableColumn id="10" uniqueName="10" name="Address" queryTableFieldId="10"/>
    <tableColumn id="11" uniqueName="11" name="City" queryTableFieldId="11"/>
    <tableColumn id="12" uniqueName="12" name="State" queryTableFieldId="12"/>
    <tableColumn id="13" uniqueName="13" name="Region" queryTableFieldId="13"/>
    <tableColumn id="14" uniqueName="14" name="PostalCode" queryTableFieldId="14"/>
    <tableColumn id="15" uniqueName="15" name="Country/Region" queryTableFieldId="15"/>
    <tableColumn id="16" uniqueName="16" name="HomePhone" queryTableFieldId="16"/>
    <tableColumn id="17" uniqueName="17" name="WorkPhone" queryTableFieldId="17"/>
    <tableColumn id="18" uniqueName="18" name="MobilePhone" queryTableFieldId="18"/>
    <tableColumn id="19" uniqueName="19" name="FaxNumber" queryTableFieldId="19"/>
    <tableColumn id="20" uniqueName="20" name="AlternativePhone" queryTableFieldId="20"/>
    <tableColumn id="21" uniqueName="21" name="EmailAddress" queryTableFieldId="21"/>
    <tableColumn id="22" uniqueName="22" name="CompuServeID" queryTableFieldId="22"/>
    <tableColumn id="23" uniqueName="23" name="Birthdate" queryTableFieldId="23" dataDxfId="12"/>
    <tableColumn id="24" uniqueName="24" name="Nationality" queryTableFieldId="24"/>
    <tableColumn id="25" uniqueName="25" name="EmrgcyContactName" queryTableFieldId="25"/>
    <tableColumn id="26" uniqueName="26" name="EmrgcyContactPhone" queryTableFieldId="26"/>
    <tableColumn id="27" uniqueName="27" name="DateUpdated" queryTableFieldId="27" dataDxfId="11"/>
    <tableColumn id="28" uniqueName="28" name="MembershipStatus" queryTableFieldId="28"/>
    <tableColumn id="29" uniqueName="29" name="DateJoined" queryTableFieldId="29" dataDxfId="10"/>
    <tableColumn id="30" uniqueName="30" name="PledgeAmount" queryTableFieldId="30"/>
    <tableColumn id="31" uniqueName="31" name="PledgePaidDate" queryTableFieldId="31" dataDxfId="9"/>
    <tableColumn id="32" uniqueName="32" name="DuesAmount" queryTableFieldId="32"/>
    <tableColumn id="33" uniqueName="33" name="DuesPaidDate" queryTableFieldId="33" dataDxfId="8"/>
    <tableColumn id="34" uniqueName="34" name="Hobbies" queryTableFieldId="34"/>
    <tableColumn id="35" uniqueName="35" name="HealthIssues" queryTableFieldId="35"/>
    <tableColumn id="36" uniqueName="36" name="Notes" queryTableField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Sql2008_XLRISK600REL_USER_MASTER" displayName="Table_Sql2008_XLRISK600REL_USER_MASTER" ref="A1:V44" tableType="queryTable" totalsRowShown="0">
  <autoFilter ref="A1:V44"/>
  <tableColumns count="22">
    <tableColumn id="1" uniqueName="1" name="USERID" queryTableFieldId="1"/>
    <tableColumn id="2" uniqueName="2" name="USERNAME" queryTableFieldId="2"/>
    <tableColumn id="3" uniqueName="3" name="USERPWD" queryTableFieldId="3"/>
    <tableColumn id="4" uniqueName="4" name="USERFULLNAME" queryTableFieldId="4"/>
    <tableColumn id="5" uniqueName="5" name="USEREMAILID" queryTableFieldId="5"/>
    <tableColumn id="6" uniqueName="6" name="LASTPWDAGINGDATE" queryTableFieldId="6" dataDxfId="7"/>
    <tableColumn id="7" uniqueName="7" name="AGINGPERIOD" queryTableFieldId="7"/>
    <tableColumn id="8" uniqueName="8" name="ACCOUNTSTATUS" queryTableFieldId="8"/>
    <tableColumn id="9" uniqueName="9" name="DISABLEUPTODATE" queryTableFieldId="9" dataDxfId="6"/>
    <tableColumn id="10" uniqueName="10" name="DISABLEREASON" queryTableFieldId="10"/>
    <tableColumn id="11" uniqueName="11" name="LASTLOGINTIME" queryTableFieldId="11" dataDxfId="5"/>
    <tableColumn id="12" uniqueName="12" name="LASTLOGOUTTIME" queryTableFieldId="12" dataDxfId="4"/>
    <tableColumn id="13" uniqueName="13" name="SESSIONNUMBER" queryTableFieldId="13"/>
    <tableColumn id="14" uniqueName="14" name="SESSIONTIME" queryTableFieldId="14" dataDxfId="3"/>
    <tableColumn id="15" uniqueName="15" name="MAXFAILUREATTEMPT" queryTableFieldId="15"/>
    <tableColumn id="16" uniqueName="16" name="DISABLEPERIODFORFAILURE" queryTableFieldId="16"/>
    <tableColumn id="17" uniqueName="17" name="FAILURENOTIFICATIONTO" queryTableFieldId="17"/>
    <tableColumn id="18" uniqueName="18" name="FAILURECOUNTFORNOTIFICATION" queryTableFieldId="18"/>
    <tableColumn id="19" uniqueName="19" name="LASTNOTIFICATIONTIME" queryTableFieldId="19" dataDxfId="2"/>
    <tableColumn id="20" uniqueName="20" name="USERTYPE" queryTableFieldId="20"/>
    <tableColumn id="21" uniqueName="21" name="DELETESTATUS" queryTableFieldId="21"/>
    <tableColumn id="22" uniqueName="22" name="DomainID" queryTableField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bc@12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O84"/>
  <sheetViews>
    <sheetView tabSelected="1" workbookViewId="0">
      <selection activeCell="E15" sqref="E15"/>
    </sheetView>
  </sheetViews>
  <sheetFormatPr defaultRowHeight="15" x14ac:dyDescent="0.25"/>
  <cols>
    <col min="1" max="1" width="37.5703125" bestFit="1" customWidth="1"/>
    <col min="2" max="2" width="7.42578125" customWidth="1"/>
    <col min="5" max="5" width="9.7109375" bestFit="1" customWidth="1"/>
    <col min="12" max="12" width="48.140625" bestFit="1" customWidth="1"/>
  </cols>
  <sheetData>
    <row r="1" spans="1:15" x14ac:dyDescent="0.25">
      <c r="A1">
        <v>1</v>
      </c>
      <c r="B1">
        <v>1</v>
      </c>
      <c r="C1">
        <v>1</v>
      </c>
      <c r="D1">
        <v>4</v>
      </c>
      <c r="E1">
        <v>1</v>
      </c>
      <c r="M1" s="28"/>
      <c r="N1" s="29"/>
      <c r="O1" s="30"/>
    </row>
    <row r="2" spans="1:15" x14ac:dyDescent="0.25">
      <c r="A2">
        <v>2</v>
      </c>
      <c r="B2">
        <v>2</v>
      </c>
      <c r="C2">
        <v>4</v>
      </c>
      <c r="D2">
        <v>2</v>
      </c>
      <c r="E2" t="s">
        <v>7</v>
      </c>
      <c r="M2" s="28"/>
      <c r="N2" s="29"/>
      <c r="O2" s="30"/>
    </row>
    <row r="3" spans="1:15" x14ac:dyDescent="0.25">
      <c r="A3">
        <f>SUM(A1:A2)</f>
        <v>3</v>
      </c>
      <c r="B3">
        <f>AVERAGE(B1:B2)</f>
        <v>1.5</v>
      </c>
      <c r="C3">
        <f>SUM(C1:C2)</f>
        <v>5</v>
      </c>
      <c r="D3">
        <f>AVERAGE(D1:D2)</f>
        <v>3</v>
      </c>
      <c r="E3">
        <f>SUM(E1:E2)</f>
        <v>1</v>
      </c>
      <c r="F3" t="s">
        <v>216</v>
      </c>
      <c r="K3" t="s">
        <v>309</v>
      </c>
      <c r="L3">
        <v>10</v>
      </c>
      <c r="M3" s="28"/>
      <c r="N3" s="29"/>
      <c r="O3" s="30"/>
    </row>
    <row r="4" spans="1:15" x14ac:dyDescent="0.25">
      <c r="K4" t="s">
        <v>308</v>
      </c>
      <c r="L4">
        <f>L3+5</f>
        <v>15</v>
      </c>
      <c r="M4" s="28"/>
      <c r="N4" s="29"/>
      <c r="O4" s="30"/>
    </row>
    <row r="5" spans="1:15" x14ac:dyDescent="0.25">
      <c r="K5">
        <v>300</v>
      </c>
      <c r="L5">
        <f t="shared" ref="L5:L27" si="0">L4+5</f>
        <v>20</v>
      </c>
      <c r="M5" s="28"/>
      <c r="N5" s="29"/>
      <c r="O5" s="30" t="s">
        <v>72</v>
      </c>
    </row>
    <row r="6" spans="1:15" x14ac:dyDescent="0.25">
      <c r="A6">
        <v>88</v>
      </c>
      <c r="B6">
        <v>5</v>
      </c>
      <c r="C6">
        <v>56</v>
      </c>
      <c r="D6">
        <v>30</v>
      </c>
      <c r="E6">
        <v>40</v>
      </c>
      <c r="F6">
        <v>50</v>
      </c>
      <c r="G6">
        <v>20</v>
      </c>
      <c r="H6">
        <v>10</v>
      </c>
      <c r="L6">
        <f t="shared" si="0"/>
        <v>25</v>
      </c>
      <c r="M6" s="28"/>
      <c r="N6" s="29"/>
      <c r="O6" s="30"/>
    </row>
    <row r="7" spans="1:15" x14ac:dyDescent="0.25">
      <c r="K7">
        <f>SUM(A6:H6)</f>
        <v>299</v>
      </c>
      <c r="L7">
        <f t="shared" si="0"/>
        <v>30</v>
      </c>
      <c r="M7" s="28"/>
      <c r="N7" s="29"/>
      <c r="O7" s="30"/>
    </row>
    <row r="8" spans="1:15" x14ac:dyDescent="0.25">
      <c r="A8" t="s">
        <v>212</v>
      </c>
      <c r="C8">
        <f>SUM(A3:D3)</f>
        <v>12.5</v>
      </c>
      <c r="L8">
        <f t="shared" si="0"/>
        <v>35</v>
      </c>
      <c r="M8" s="28"/>
      <c r="N8" s="29"/>
      <c r="O8" s="30"/>
    </row>
    <row r="9" spans="1:15" x14ac:dyDescent="0.25">
      <c r="L9">
        <f t="shared" si="0"/>
        <v>40</v>
      </c>
      <c r="M9" s="28"/>
      <c r="N9" s="29"/>
      <c r="O9" s="30"/>
    </row>
    <row r="10" spans="1:15" x14ac:dyDescent="0.25">
      <c r="A10" t="s">
        <v>213</v>
      </c>
      <c r="D10" s="5">
        <f>SUM(A2:D2)</f>
        <v>10</v>
      </c>
      <c r="E10" t="e">
        <f>E6+E12 G6+8</f>
        <v>#NULL!</v>
      </c>
      <c r="L10">
        <f t="shared" si="0"/>
        <v>45</v>
      </c>
      <c r="M10" s="28"/>
      <c r="N10" s="29"/>
      <c r="O10" s="30"/>
    </row>
    <row r="11" spans="1:15" x14ac:dyDescent="0.25">
      <c r="L11">
        <f t="shared" si="0"/>
        <v>50</v>
      </c>
      <c r="M11" s="28"/>
      <c r="N11" s="29"/>
      <c r="O11" s="30" t="s">
        <v>72</v>
      </c>
    </row>
    <row r="12" spans="1:15" x14ac:dyDescent="0.25">
      <c r="A12" t="s">
        <v>214</v>
      </c>
      <c r="D12" s="5">
        <f>SUM(D10,C8)+1000</f>
        <v>1022.5</v>
      </c>
      <c r="L12">
        <f t="shared" si="0"/>
        <v>55</v>
      </c>
      <c r="M12" s="28"/>
      <c r="N12" s="29"/>
      <c r="O12" s="30"/>
    </row>
    <row r="13" spans="1:15" x14ac:dyDescent="0.25">
      <c r="L13">
        <f t="shared" si="0"/>
        <v>60</v>
      </c>
      <c r="M13" s="28"/>
      <c r="N13" s="29"/>
      <c r="O13" s="30" t="s">
        <v>72</v>
      </c>
    </row>
    <row r="14" spans="1:15" x14ac:dyDescent="0.25">
      <c r="A14" t="s">
        <v>215</v>
      </c>
      <c r="D14" s="5">
        <f>D12+D10+D8</f>
        <v>1032.5</v>
      </c>
      <c r="L14">
        <f t="shared" si="0"/>
        <v>65</v>
      </c>
      <c r="M14" s="28"/>
      <c r="N14" s="29"/>
      <c r="O14" s="30" t="s">
        <v>72</v>
      </c>
    </row>
    <row r="15" spans="1:15" x14ac:dyDescent="0.25">
      <c r="D15" t="e">
        <f>AVERAGE(B15:C15)</f>
        <v>#DIV/0!</v>
      </c>
      <c r="F15">
        <f>SUM(C1:C3)+50</f>
        <v>60</v>
      </c>
      <c r="L15">
        <f t="shared" si="0"/>
        <v>70</v>
      </c>
      <c r="M15" s="28"/>
      <c r="N15" s="29"/>
      <c r="O15" s="30" t="s">
        <v>72</v>
      </c>
    </row>
    <row r="16" spans="1:15" x14ac:dyDescent="0.25">
      <c r="I16">
        <f>AVERAGE(A3:D3)+80</f>
        <v>83.125</v>
      </c>
      <c r="L16">
        <f t="shared" si="0"/>
        <v>75</v>
      </c>
      <c r="M16" s="28"/>
      <c r="N16" s="29"/>
      <c r="O16" s="30"/>
    </row>
    <row r="17" spans="1:15" x14ac:dyDescent="0.25">
      <c r="A17" t="s">
        <v>217</v>
      </c>
      <c r="D17">
        <f>SUM(D18:D24)</f>
        <v>35</v>
      </c>
      <c r="L17">
        <f t="shared" si="0"/>
        <v>80</v>
      </c>
      <c r="M17" s="28"/>
      <c r="N17" s="29"/>
      <c r="O17" s="30" t="s">
        <v>72</v>
      </c>
    </row>
    <row r="18" spans="1:15" x14ac:dyDescent="0.25">
      <c r="D18">
        <v>1</v>
      </c>
      <c r="H18">
        <v>11112</v>
      </c>
      <c r="L18">
        <f t="shared" si="0"/>
        <v>85</v>
      </c>
      <c r="O18" s="30"/>
    </row>
    <row r="19" spans="1:15" x14ac:dyDescent="0.25">
      <c r="D19">
        <v>2</v>
      </c>
      <c r="L19">
        <f t="shared" si="0"/>
        <v>90</v>
      </c>
      <c r="O19" s="30"/>
    </row>
    <row r="20" spans="1:15" x14ac:dyDescent="0.25">
      <c r="D20">
        <v>3</v>
      </c>
      <c r="L20">
        <f t="shared" si="0"/>
        <v>95</v>
      </c>
      <c r="O20" s="30"/>
    </row>
    <row r="21" spans="1:15" hidden="1" x14ac:dyDescent="0.25">
      <c r="A21" t="s">
        <v>218</v>
      </c>
      <c r="D21">
        <f>'Hidden Row'!A15</f>
        <v>11</v>
      </c>
      <c r="I21">
        <v>1</v>
      </c>
      <c r="L21">
        <f t="shared" si="0"/>
        <v>100</v>
      </c>
      <c r="O21" s="30"/>
    </row>
    <row r="22" spans="1:15" x14ac:dyDescent="0.25">
      <c r="D22">
        <v>5</v>
      </c>
      <c r="I22">
        <v>2</v>
      </c>
      <c r="L22">
        <f t="shared" si="0"/>
        <v>105</v>
      </c>
      <c r="O22" s="30"/>
    </row>
    <row r="23" spans="1:15" x14ac:dyDescent="0.25">
      <c r="D23">
        <v>6</v>
      </c>
      <c r="I23">
        <f>SUM(I21:I22)</f>
        <v>3</v>
      </c>
      <c r="L23">
        <f t="shared" si="0"/>
        <v>110</v>
      </c>
      <c r="O23" s="30"/>
    </row>
    <row r="24" spans="1:15" x14ac:dyDescent="0.25">
      <c r="D24">
        <v>7</v>
      </c>
      <c r="G24">
        <v>1</v>
      </c>
      <c r="I24">
        <f>SUM(D24:H24)</f>
        <v>8</v>
      </c>
      <c r="L24">
        <f t="shared" si="0"/>
        <v>115</v>
      </c>
      <c r="O24" s="30" t="s">
        <v>72</v>
      </c>
    </row>
    <row r="25" spans="1:15" x14ac:dyDescent="0.25">
      <c r="D25">
        <f>SUM(D17:D24)</f>
        <v>70</v>
      </c>
      <c r="G25">
        <v>2</v>
      </c>
      <c r="L25">
        <f t="shared" si="0"/>
        <v>120</v>
      </c>
      <c r="O25" s="30" t="s">
        <v>72</v>
      </c>
    </row>
    <row r="26" spans="1:15" x14ac:dyDescent="0.25">
      <c r="G26">
        <f>SUM(G24:G25)</f>
        <v>3</v>
      </c>
      <c r="L26">
        <f t="shared" si="0"/>
        <v>125</v>
      </c>
      <c r="O26" s="30" t="s">
        <v>72</v>
      </c>
    </row>
    <row r="27" spans="1:15" x14ac:dyDescent="0.25">
      <c r="L27">
        <f t="shared" si="0"/>
        <v>130</v>
      </c>
      <c r="O27" s="30" t="s">
        <v>72</v>
      </c>
    </row>
    <row r="28" spans="1:15" x14ac:dyDescent="0.25">
      <c r="J28">
        <v>11</v>
      </c>
      <c r="O28" s="30" t="s">
        <v>72</v>
      </c>
    </row>
    <row r="29" spans="1:15" x14ac:dyDescent="0.25">
      <c r="O29" s="30" t="s">
        <v>72</v>
      </c>
    </row>
    <row r="30" spans="1:15" x14ac:dyDescent="0.25">
      <c r="A30" t="s">
        <v>237</v>
      </c>
      <c r="B30" s="26">
        <v>1</v>
      </c>
      <c r="C30" s="26">
        <v>1</v>
      </c>
      <c r="D30" s="27">
        <v>1</v>
      </c>
      <c r="E30" s="26">
        <f>SUM(B30:D30)</f>
        <v>3</v>
      </c>
      <c r="M30" s="28"/>
      <c r="N30" s="29"/>
      <c r="O30" s="30"/>
    </row>
    <row r="31" spans="1:15" x14ac:dyDescent="0.25">
      <c r="G31" s="41" t="s">
        <v>254</v>
      </c>
      <c r="H31" s="41"/>
      <c r="I31" s="41"/>
      <c r="O31" s="30" t="s">
        <v>72</v>
      </c>
    </row>
    <row r="32" spans="1:15" x14ac:dyDescent="0.25">
      <c r="A32" t="s">
        <v>238</v>
      </c>
      <c r="B32">
        <v>15</v>
      </c>
      <c r="C32">
        <v>30</v>
      </c>
      <c r="D32">
        <v>15</v>
      </c>
      <c r="E32">
        <f>-SUM(B32:D32)</f>
        <v>-60</v>
      </c>
      <c r="M32" s="28"/>
      <c r="N32" s="29"/>
      <c r="O32" s="30"/>
    </row>
    <row r="33" spans="1:15" x14ac:dyDescent="0.25">
      <c r="A33" t="s">
        <v>239</v>
      </c>
      <c r="B33" s="41">
        <v>1</v>
      </c>
      <c r="C33" s="41"/>
      <c r="D33" s="41"/>
      <c r="E33" s="41"/>
      <c r="G33" s="41"/>
      <c r="H33" s="41"/>
      <c r="I33" s="41"/>
      <c r="J33" s="41"/>
      <c r="L33" s="42">
        <v>2</v>
      </c>
      <c r="M33" s="42"/>
      <c r="N33" s="42"/>
      <c r="O33" s="42"/>
    </row>
    <row r="34" spans="1:15" x14ac:dyDescent="0.25">
      <c r="A34" t="s">
        <v>240</v>
      </c>
    </row>
    <row r="35" spans="1:15" x14ac:dyDescent="0.25">
      <c r="A35" t="s">
        <v>241</v>
      </c>
      <c r="B35" t="str">
        <f>IF(B32&gt;15,IF(C32&gt;25,"Yes","No"),"T")</f>
        <v>T</v>
      </c>
      <c r="M35" s="28"/>
      <c r="N35" s="29"/>
      <c r="O35" s="30"/>
    </row>
    <row r="36" spans="1:15" x14ac:dyDescent="0.25">
      <c r="A36" t="s">
        <v>242</v>
      </c>
      <c r="B36">
        <v>1</v>
      </c>
      <c r="C36">
        <v>2</v>
      </c>
      <c r="D36">
        <v>3</v>
      </c>
      <c r="E36">
        <v>4</v>
      </c>
      <c r="G36">
        <f>SUM(C36:E36,,,,)</f>
        <v>9</v>
      </c>
    </row>
    <row r="37" spans="1:15" x14ac:dyDescent="0.25">
      <c r="A37" t="s">
        <v>243</v>
      </c>
      <c r="B37">
        <f>SUM(TestAudit)</f>
        <v>35</v>
      </c>
      <c r="L37" s="31"/>
      <c r="M37" s="28"/>
      <c r="N37" s="29"/>
      <c r="O37" s="30"/>
    </row>
    <row r="38" spans="1:15" x14ac:dyDescent="0.25">
      <c r="A38" t="s">
        <v>244</v>
      </c>
      <c r="B38" s="33">
        <v>1</v>
      </c>
      <c r="C38" s="33">
        <v>2</v>
      </c>
      <c r="D38" s="33">
        <v>3</v>
      </c>
      <c r="E38" s="33" t="s">
        <v>251</v>
      </c>
      <c r="F38" s="33">
        <v>6</v>
      </c>
      <c r="G38" s="33">
        <v>7</v>
      </c>
      <c r="L38" s="31"/>
      <c r="M38" s="28"/>
      <c r="N38" s="29"/>
      <c r="O38" s="30"/>
    </row>
    <row r="39" spans="1:15" x14ac:dyDescent="0.25">
      <c r="A39" t="s">
        <v>245</v>
      </c>
      <c r="B39">
        <v>1</v>
      </c>
      <c r="L39" s="32"/>
      <c r="M39" s="28"/>
      <c r="N39" s="29"/>
      <c r="O39" s="30"/>
    </row>
    <row r="40" spans="1:15" x14ac:dyDescent="0.25">
      <c r="B40">
        <v>2</v>
      </c>
      <c r="M40" s="28"/>
      <c r="N40" s="29"/>
      <c r="O40" s="30"/>
    </row>
    <row r="41" spans="1:15" x14ac:dyDescent="0.25">
      <c r="L41" s="31"/>
      <c r="M41" s="28"/>
      <c r="N41" s="29"/>
      <c r="O41" s="30"/>
    </row>
    <row r="42" spans="1:15" x14ac:dyDescent="0.25">
      <c r="B42">
        <v>3</v>
      </c>
      <c r="M42" s="28"/>
      <c r="N42" s="29"/>
      <c r="O42" s="30"/>
    </row>
    <row r="43" spans="1:15" x14ac:dyDescent="0.25">
      <c r="M43" s="28"/>
      <c r="N43" s="29"/>
      <c r="O43" s="30"/>
    </row>
    <row r="44" spans="1:15" x14ac:dyDescent="0.25">
      <c r="M44" s="28"/>
      <c r="N44" s="29"/>
      <c r="O44" s="30"/>
    </row>
    <row r="45" spans="1:15" x14ac:dyDescent="0.25">
      <c r="L45" s="32"/>
      <c r="M45" s="28"/>
      <c r="N45" s="29"/>
      <c r="O45" s="30"/>
    </row>
    <row r="46" spans="1:15" x14ac:dyDescent="0.25">
      <c r="A46" t="s">
        <v>246</v>
      </c>
      <c r="B46">
        <f ca="1">E46</f>
        <v>0</v>
      </c>
      <c r="C46">
        <f ca="1">B46</f>
        <v>0</v>
      </c>
      <c r="E46">
        <f ca="1">SUM(B46:C46)</f>
        <v>0</v>
      </c>
    </row>
    <row r="47" spans="1:15" x14ac:dyDescent="0.25">
      <c r="A47" t="s">
        <v>247</v>
      </c>
      <c r="B47" s="34">
        <f>10.5/9.5</f>
        <v>1.1052631578947369</v>
      </c>
    </row>
    <row r="48" spans="1:15" x14ac:dyDescent="0.25">
      <c r="A48" t="s">
        <v>248</v>
      </c>
      <c r="B48">
        <f>MOD(100,3)</f>
        <v>1</v>
      </c>
    </row>
    <row r="50" spans="1:12" x14ac:dyDescent="0.25">
      <c r="J50">
        <v>12345</v>
      </c>
      <c r="L50" t="s">
        <v>305</v>
      </c>
    </row>
    <row r="51" spans="1:12" x14ac:dyDescent="0.25">
      <c r="J51" t="s">
        <v>304</v>
      </c>
      <c r="L51" t="s">
        <v>306</v>
      </c>
    </row>
    <row r="53" spans="1:12" x14ac:dyDescent="0.25">
      <c r="L53" t="s">
        <v>307</v>
      </c>
    </row>
    <row r="56" spans="1:12" x14ac:dyDescent="0.25">
      <c r="A56" t="s">
        <v>250</v>
      </c>
      <c r="C56">
        <v>1</v>
      </c>
      <c r="D56">
        <v>4</v>
      </c>
      <c r="E56">
        <v>7</v>
      </c>
    </row>
    <row r="57" spans="1:12" x14ac:dyDescent="0.25">
      <c r="C57">
        <v>2</v>
      </c>
      <c r="D57">
        <v>5</v>
      </c>
      <c r="E57">
        <v>8</v>
      </c>
    </row>
    <row r="58" spans="1:12" x14ac:dyDescent="0.25">
      <c r="C58">
        <f>SUM(C56:C57)</f>
        <v>3</v>
      </c>
      <c r="D58">
        <v>6</v>
      </c>
      <c r="E58">
        <f>SUM(E56:E57)</f>
        <v>15</v>
      </c>
    </row>
    <row r="60" spans="1:12" x14ac:dyDescent="0.25">
      <c r="A60" t="s">
        <v>252</v>
      </c>
      <c r="B60" s="3">
        <f ca="1">E63</f>
        <v>42446.616278472226</v>
      </c>
      <c r="C60" s="3">
        <f>F63</f>
        <v>0</v>
      </c>
    </row>
    <row r="63" spans="1:12" x14ac:dyDescent="0.25">
      <c r="E63" s="3">
        <f ca="1">NOW()</f>
        <v>42446.616278472226</v>
      </c>
    </row>
    <row r="67" spans="1:2" x14ac:dyDescent="0.25">
      <c r="A67" t="s">
        <v>253</v>
      </c>
      <c r="B67">
        <f>SUM(C56:C58)+AVERAGE(D56:D58)+PRODUCT(E56:E58)</f>
        <v>851</v>
      </c>
    </row>
    <row r="72" spans="1:2" x14ac:dyDescent="0.25">
      <c r="A72" t="s">
        <v>298</v>
      </c>
      <c r="B72">
        <f>MEDIAN(123)</f>
        <v>123</v>
      </c>
    </row>
    <row r="74" spans="1:2" x14ac:dyDescent="0.25">
      <c r="A74" t="s">
        <v>299</v>
      </c>
      <c r="B74">
        <f>VLOOKUP(A67,A67:B67,2)</f>
        <v>851</v>
      </c>
    </row>
    <row r="76" spans="1:2" x14ac:dyDescent="0.25">
      <c r="A76" t="s">
        <v>300</v>
      </c>
      <c r="B76" t="str">
        <f>HLOOKUP(A72,A72:B72,1)</f>
        <v>Median</v>
      </c>
    </row>
    <row r="78" spans="1:2" x14ac:dyDescent="0.25">
      <c r="A78" t="s">
        <v>301</v>
      </c>
    </row>
    <row r="80" spans="1:2" x14ac:dyDescent="0.25">
      <c r="A80" t="s">
        <v>302</v>
      </c>
      <c r="B80">
        <f>SUMIF(B72:B78,(A72="Median"),B72:B78)</f>
        <v>0</v>
      </c>
    </row>
    <row r="82" spans="1:2" x14ac:dyDescent="0.25">
      <c r="A82" t="s">
        <v>303</v>
      </c>
      <c r="B82">
        <f>LOOKUP(B72,B72:B74)</f>
        <v>123</v>
      </c>
    </row>
    <row r="84" spans="1:2" x14ac:dyDescent="0.25">
      <c r="A84" t="s">
        <v>302</v>
      </c>
      <c r="B84">
        <f>SUMIF(B76:B82,(A76="Median"),B76:B82)</f>
        <v>0</v>
      </c>
    </row>
  </sheetData>
  <mergeCells count="4">
    <mergeCell ref="B33:E33"/>
    <mergeCell ref="G33:J33"/>
    <mergeCell ref="L33:O33"/>
    <mergeCell ref="G31:I31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5:D9"/>
  <sheetViews>
    <sheetView workbookViewId="0">
      <selection activeCell="E10" sqref="E10"/>
    </sheetView>
  </sheetViews>
  <sheetFormatPr defaultRowHeight="15" x14ac:dyDescent="0.25"/>
  <sheetData>
    <row r="5" spans="2:4" x14ac:dyDescent="0.25">
      <c r="B5" t="s">
        <v>0</v>
      </c>
    </row>
    <row r="6" spans="2:4" x14ac:dyDescent="0.25">
      <c r="B6" s="1">
        <v>1000</v>
      </c>
    </row>
    <row r="9" spans="2:4" x14ac:dyDescent="0.25">
      <c r="D9" s="25">
        <f>[1]Data!$A$5291</f>
        <v>39479</v>
      </c>
    </row>
  </sheetData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C4:E6"/>
  <sheetViews>
    <sheetView workbookViewId="0">
      <selection activeCell="H8" sqref="H8"/>
    </sheetView>
  </sheetViews>
  <sheetFormatPr defaultRowHeight="15" x14ac:dyDescent="0.25"/>
  <sheetData>
    <row r="4" spans="3:5" x14ac:dyDescent="0.25">
      <c r="C4" t="s">
        <v>1</v>
      </c>
      <c r="D4" s="2" t="s">
        <v>2</v>
      </c>
      <c r="E4">
        <v>1</v>
      </c>
    </row>
    <row r="5" spans="3:5" x14ac:dyDescent="0.25">
      <c r="E5">
        <v>2</v>
      </c>
    </row>
    <row r="6" spans="3:5" x14ac:dyDescent="0.25">
      <c r="E6" s="40">
        <f>SUM(E4:E5)</f>
        <v>3</v>
      </c>
    </row>
  </sheetData>
  <hyperlinks>
    <hyperlink ref="D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5:J32"/>
  <sheetViews>
    <sheetView workbookViewId="0">
      <selection activeCell="D18" sqref="D18"/>
    </sheetView>
  </sheetViews>
  <sheetFormatPr defaultRowHeight="15" x14ac:dyDescent="0.25"/>
  <sheetData>
    <row r="5" spans="1:3" x14ac:dyDescent="0.25">
      <c r="A5" t="s">
        <v>3</v>
      </c>
      <c r="B5" t="s">
        <v>4</v>
      </c>
      <c r="C5" t="s">
        <v>5</v>
      </c>
    </row>
    <row r="6" spans="1:3" x14ac:dyDescent="0.25">
      <c r="A6">
        <v>1</v>
      </c>
      <c r="B6" t="s">
        <v>6</v>
      </c>
      <c r="C6">
        <v>11</v>
      </c>
    </row>
    <row r="7" spans="1:3" x14ac:dyDescent="0.25">
      <c r="A7">
        <v>2</v>
      </c>
      <c r="B7" t="s">
        <v>7</v>
      </c>
      <c r="C7">
        <v>12</v>
      </c>
    </row>
    <row r="8" spans="1:3" x14ac:dyDescent="0.25">
      <c r="A8">
        <v>3</v>
      </c>
      <c r="B8" t="s">
        <v>8</v>
      </c>
      <c r="C8">
        <v>13</v>
      </c>
    </row>
    <row r="19" spans="10:10" x14ac:dyDescent="0.25">
      <c r="J19">
        <v>1</v>
      </c>
    </row>
    <row r="32" spans="10:10" x14ac:dyDescent="0.25">
      <c r="J32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5:T29"/>
  <sheetViews>
    <sheetView workbookViewId="0">
      <selection activeCell="J21" sqref="J21"/>
    </sheetView>
  </sheetViews>
  <sheetFormatPr defaultRowHeight="15" x14ac:dyDescent="0.25"/>
  <sheetData>
    <row r="5" spans="1:20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</row>
    <row r="6" spans="1:20" x14ac:dyDescent="0.25">
      <c r="A6">
        <v>2</v>
      </c>
    </row>
    <row r="7" spans="1:20" x14ac:dyDescent="0.25">
      <c r="A7">
        <v>3</v>
      </c>
    </row>
    <row r="8" spans="1:20" x14ac:dyDescent="0.25">
      <c r="A8">
        <v>4</v>
      </c>
    </row>
    <row r="9" spans="1:20" x14ac:dyDescent="0.25">
      <c r="A9">
        <v>5</v>
      </c>
    </row>
    <row r="10" spans="1:20" x14ac:dyDescent="0.25">
      <c r="A10">
        <v>6</v>
      </c>
    </row>
    <row r="11" spans="1:20" x14ac:dyDescent="0.25">
      <c r="A11">
        <v>7</v>
      </c>
    </row>
    <row r="12" spans="1:20" x14ac:dyDescent="0.25">
      <c r="A12">
        <v>8</v>
      </c>
    </row>
    <row r="13" spans="1:20" x14ac:dyDescent="0.25">
      <c r="A13">
        <v>9</v>
      </c>
    </row>
    <row r="14" spans="1:20" x14ac:dyDescent="0.25">
      <c r="A14">
        <v>10</v>
      </c>
    </row>
    <row r="15" spans="1:20" hidden="1" x14ac:dyDescent="0.25">
      <c r="A15">
        <v>11</v>
      </c>
    </row>
    <row r="16" spans="1:20" x14ac:dyDescent="0.25">
      <c r="A16">
        <v>12</v>
      </c>
    </row>
    <row r="17" spans="1:1" x14ac:dyDescent="0.25">
      <c r="A17">
        <v>13</v>
      </c>
    </row>
    <row r="18" spans="1:1" x14ac:dyDescent="0.25">
      <c r="A18">
        <v>14</v>
      </c>
    </row>
    <row r="19" spans="1:1" x14ac:dyDescent="0.25">
      <c r="A19">
        <v>15</v>
      </c>
    </row>
    <row r="20" spans="1:1" x14ac:dyDescent="0.25">
      <c r="A20">
        <v>16</v>
      </c>
    </row>
    <row r="21" spans="1:1" x14ac:dyDescent="0.25">
      <c r="A21">
        <v>17</v>
      </c>
    </row>
    <row r="22" spans="1:1" x14ac:dyDescent="0.25">
      <c r="A22">
        <v>18</v>
      </c>
    </row>
    <row r="23" spans="1:1" x14ac:dyDescent="0.25">
      <c r="A23">
        <v>19</v>
      </c>
    </row>
    <row r="24" spans="1:1" x14ac:dyDescent="0.25">
      <c r="A24">
        <v>20</v>
      </c>
    </row>
    <row r="25" spans="1:1" x14ac:dyDescent="0.25">
      <c r="A25">
        <v>21</v>
      </c>
    </row>
    <row r="26" spans="1:1" x14ac:dyDescent="0.25">
      <c r="A26">
        <v>22</v>
      </c>
    </row>
    <row r="27" spans="1:1" x14ac:dyDescent="0.25">
      <c r="A27">
        <v>23</v>
      </c>
    </row>
    <row r="28" spans="1:1" x14ac:dyDescent="0.25">
      <c r="A28">
        <v>24</v>
      </c>
    </row>
    <row r="29" spans="1:1" x14ac:dyDescent="0.25">
      <c r="A29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C46"/>
  <sheetViews>
    <sheetView workbookViewId="0">
      <selection activeCell="A10" sqref="A10"/>
    </sheetView>
  </sheetViews>
  <sheetFormatPr defaultRowHeight="15" x14ac:dyDescent="0.25"/>
  <cols>
    <col min="1" max="1" width="81.140625" bestFit="1" customWidth="1"/>
    <col min="2" max="2" width="77.140625" bestFit="1" customWidth="1"/>
    <col min="3" max="3" width="40.85546875" bestFit="1" customWidth="1"/>
  </cols>
  <sheetData>
    <row r="1" spans="1:2" x14ac:dyDescent="0.25">
      <c r="A1" t="s">
        <v>266</v>
      </c>
    </row>
    <row r="2" spans="1:2" x14ac:dyDescent="0.25">
      <c r="A2" t="s">
        <v>267</v>
      </c>
    </row>
    <row r="5" spans="1:2" x14ac:dyDescent="0.25">
      <c r="A5" t="s">
        <v>268</v>
      </c>
    </row>
    <row r="6" spans="1:2" x14ac:dyDescent="0.25">
      <c r="A6" t="s">
        <v>269</v>
      </c>
    </row>
    <row r="7" spans="1:2" x14ac:dyDescent="0.25">
      <c r="A7" t="s">
        <v>268</v>
      </c>
    </row>
    <row r="9" spans="1:2" x14ac:dyDescent="0.25">
      <c r="A9" t="s">
        <v>270</v>
      </c>
    </row>
    <row r="10" spans="1:2" x14ac:dyDescent="0.25">
      <c r="A10" t="s">
        <v>271</v>
      </c>
      <c r="B10" t="s">
        <v>272</v>
      </c>
    </row>
    <row r="11" spans="1:2" x14ac:dyDescent="0.25">
      <c r="A11" t="s">
        <v>271</v>
      </c>
      <c r="B11" t="s">
        <v>273</v>
      </c>
    </row>
    <row r="13" spans="1:2" x14ac:dyDescent="0.25">
      <c r="A13" t="s">
        <v>271</v>
      </c>
      <c r="B13" t="s">
        <v>274</v>
      </c>
    </row>
    <row r="14" spans="1:2" x14ac:dyDescent="0.25">
      <c r="A14" t="s">
        <v>271</v>
      </c>
      <c r="B14" t="s">
        <v>275</v>
      </c>
    </row>
    <row r="15" spans="1:2" x14ac:dyDescent="0.25">
      <c r="A15" t="s">
        <v>276</v>
      </c>
    </row>
    <row r="19" spans="1:2" x14ac:dyDescent="0.25">
      <c r="A19" t="s">
        <v>277</v>
      </c>
    </row>
    <row r="20" spans="1:2" x14ac:dyDescent="0.25">
      <c r="A20" t="s">
        <v>278</v>
      </c>
    </row>
    <row r="21" spans="1:2" x14ac:dyDescent="0.25">
      <c r="A21" t="s">
        <v>279</v>
      </c>
    </row>
    <row r="22" spans="1:2" x14ac:dyDescent="0.25">
      <c r="A22" t="s">
        <v>277</v>
      </c>
    </row>
    <row r="25" spans="1:2" x14ac:dyDescent="0.25">
      <c r="A25" t="s">
        <v>280</v>
      </c>
    </row>
    <row r="26" spans="1:2" x14ac:dyDescent="0.25">
      <c r="A26" t="s">
        <v>281</v>
      </c>
    </row>
    <row r="28" spans="1:2" x14ac:dyDescent="0.25">
      <c r="B28" t="s">
        <v>282</v>
      </c>
    </row>
    <row r="29" spans="1:2" x14ac:dyDescent="0.25">
      <c r="B29" t="s">
        <v>283</v>
      </c>
    </row>
    <row r="30" spans="1:2" x14ac:dyDescent="0.25">
      <c r="B30" t="s">
        <v>284</v>
      </c>
    </row>
    <row r="31" spans="1:2" x14ac:dyDescent="0.25">
      <c r="B31" t="s">
        <v>285</v>
      </c>
    </row>
    <row r="33" spans="1:3" x14ac:dyDescent="0.25">
      <c r="B33" t="s">
        <v>286</v>
      </c>
    </row>
    <row r="34" spans="1:3" x14ac:dyDescent="0.25">
      <c r="C34" t="s">
        <v>287</v>
      </c>
    </row>
    <row r="35" spans="1:3" x14ac:dyDescent="0.25">
      <c r="C35" t="s">
        <v>288</v>
      </c>
    </row>
    <row r="36" spans="1:3" x14ac:dyDescent="0.25">
      <c r="C36" t="s">
        <v>289</v>
      </c>
    </row>
    <row r="37" spans="1:3" x14ac:dyDescent="0.25">
      <c r="A37" t="s">
        <v>290</v>
      </c>
    </row>
    <row r="39" spans="1:3" x14ac:dyDescent="0.25">
      <c r="A39" t="s">
        <v>271</v>
      </c>
      <c r="B39" t="s">
        <v>291</v>
      </c>
    </row>
    <row r="41" spans="1:3" x14ac:dyDescent="0.25">
      <c r="A41" t="s">
        <v>292</v>
      </c>
    </row>
    <row r="44" spans="1:3" x14ac:dyDescent="0.25">
      <c r="A44" t="s">
        <v>293</v>
      </c>
    </row>
    <row r="46" spans="1:3" x14ac:dyDescent="0.25">
      <c r="A46" t="s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5:T29"/>
  <sheetViews>
    <sheetView workbookViewId="0">
      <selection activeCell="Q30" sqref="Q30"/>
    </sheetView>
  </sheetViews>
  <sheetFormatPr defaultRowHeight="15" x14ac:dyDescent="0.25"/>
  <cols>
    <col min="10" max="10" width="0" hidden="1" customWidth="1"/>
    <col min="13" max="16" width="0" hidden="1" customWidth="1"/>
  </cols>
  <sheetData>
    <row r="5" spans="1:20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</row>
    <row r="6" spans="1:20" x14ac:dyDescent="0.25">
      <c r="A6">
        <v>2</v>
      </c>
    </row>
    <row r="7" spans="1:20" x14ac:dyDescent="0.25">
      <c r="A7">
        <v>3</v>
      </c>
    </row>
    <row r="8" spans="1:20" x14ac:dyDescent="0.25">
      <c r="A8">
        <v>4</v>
      </c>
    </row>
    <row r="9" spans="1:20" x14ac:dyDescent="0.25">
      <c r="A9">
        <v>5</v>
      </c>
    </row>
    <row r="10" spans="1:20" x14ac:dyDescent="0.25">
      <c r="A10">
        <v>6</v>
      </c>
    </row>
    <row r="11" spans="1:20" x14ac:dyDescent="0.25">
      <c r="A11">
        <v>7</v>
      </c>
    </row>
    <row r="12" spans="1:20" x14ac:dyDescent="0.25">
      <c r="A12">
        <v>8</v>
      </c>
    </row>
    <row r="13" spans="1:20" x14ac:dyDescent="0.25">
      <c r="A13">
        <v>9</v>
      </c>
    </row>
    <row r="14" spans="1:20" x14ac:dyDescent="0.25">
      <c r="A14">
        <v>10</v>
      </c>
    </row>
    <row r="15" spans="1:20" x14ac:dyDescent="0.25">
      <c r="A15">
        <v>11</v>
      </c>
    </row>
    <row r="16" spans="1:20" x14ac:dyDescent="0.25">
      <c r="A16">
        <v>12</v>
      </c>
    </row>
    <row r="17" spans="1:1" x14ac:dyDescent="0.25">
      <c r="A17">
        <v>13</v>
      </c>
    </row>
    <row r="18" spans="1:1" x14ac:dyDescent="0.25">
      <c r="A18">
        <v>14</v>
      </c>
    </row>
    <row r="19" spans="1:1" x14ac:dyDescent="0.25">
      <c r="A19">
        <v>15</v>
      </c>
    </row>
    <row r="20" spans="1:1" hidden="1" x14ac:dyDescent="0.25">
      <c r="A20">
        <v>16</v>
      </c>
    </row>
    <row r="21" spans="1:1" hidden="1" x14ac:dyDescent="0.25">
      <c r="A21">
        <v>17</v>
      </c>
    </row>
    <row r="22" spans="1:1" hidden="1" x14ac:dyDescent="0.25">
      <c r="A22">
        <v>18</v>
      </c>
    </row>
    <row r="23" spans="1:1" hidden="1" x14ac:dyDescent="0.25">
      <c r="A23">
        <v>19</v>
      </c>
    </row>
    <row r="24" spans="1:1" x14ac:dyDescent="0.25">
      <c r="A24">
        <v>20</v>
      </c>
    </row>
    <row r="25" spans="1:1" x14ac:dyDescent="0.25">
      <c r="A25">
        <v>21</v>
      </c>
    </row>
    <row r="26" spans="1:1" x14ac:dyDescent="0.25">
      <c r="A26">
        <v>22</v>
      </c>
    </row>
    <row r="27" spans="1:1" x14ac:dyDescent="0.25">
      <c r="A27">
        <v>23</v>
      </c>
    </row>
    <row r="28" spans="1:1" x14ac:dyDescent="0.25">
      <c r="A28">
        <v>24</v>
      </c>
    </row>
    <row r="29" spans="1:1" x14ac:dyDescent="0.25">
      <c r="A29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"/>
  <sheetViews>
    <sheetView workbookViewId="0">
      <selection activeCell="B8" sqref="B8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"/>
  <sheetViews>
    <sheetView workbookViewId="0">
      <selection activeCell="L34" sqref="L34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0"/>
  <sheetViews>
    <sheetView workbookViewId="0">
      <selection activeCell="K20" sqref="K20"/>
    </sheetView>
  </sheetViews>
  <sheetFormatPr defaultRowHeight="15" x14ac:dyDescent="0.25"/>
  <cols>
    <col min="1" max="1" width="21.85546875" bestFit="1" customWidth="1"/>
    <col min="4" max="4" width="10.7109375" bestFit="1" customWidth="1"/>
  </cols>
  <sheetData>
    <row r="1" spans="1:12" x14ac:dyDescent="0.25">
      <c r="A1" t="s">
        <v>249</v>
      </c>
      <c r="B1">
        <v>7.5</v>
      </c>
      <c r="D1" s="3">
        <v>41983</v>
      </c>
      <c r="G1">
        <v>1</v>
      </c>
      <c r="I1">
        <v>1</v>
      </c>
      <c r="K1">
        <v>1</v>
      </c>
      <c r="L1">
        <v>1</v>
      </c>
    </row>
    <row r="2" spans="1:12" x14ac:dyDescent="0.25">
      <c r="B2">
        <v>4</v>
      </c>
      <c r="D2" s="3">
        <v>41984</v>
      </c>
      <c r="G2">
        <v>2</v>
      </c>
      <c r="I2">
        <v>2</v>
      </c>
      <c r="K2">
        <v>2</v>
      </c>
      <c r="L2">
        <v>2</v>
      </c>
    </row>
    <row r="3" spans="1:12" x14ac:dyDescent="0.25">
      <c r="B3">
        <v>3</v>
      </c>
      <c r="D3" s="3">
        <v>41985</v>
      </c>
      <c r="G3">
        <v>3</v>
      </c>
      <c r="I3">
        <v>3</v>
      </c>
      <c r="K3">
        <v>3</v>
      </c>
      <c r="L3">
        <v>3</v>
      </c>
    </row>
    <row r="4" spans="1:12" x14ac:dyDescent="0.25">
      <c r="B4">
        <v>50</v>
      </c>
      <c r="D4" s="3">
        <v>41986</v>
      </c>
      <c r="G4">
        <v>8</v>
      </c>
      <c r="I4">
        <v>8</v>
      </c>
      <c r="K4">
        <v>8</v>
      </c>
      <c r="L4">
        <v>8</v>
      </c>
    </row>
    <row r="5" spans="1:12" x14ac:dyDescent="0.25">
      <c r="B5">
        <v>4.5</v>
      </c>
      <c r="D5" s="3">
        <v>41987</v>
      </c>
      <c r="G5">
        <v>9</v>
      </c>
      <c r="I5">
        <v>9</v>
      </c>
      <c r="K5">
        <v>9</v>
      </c>
      <c r="L5">
        <v>9</v>
      </c>
    </row>
    <row r="6" spans="1:12" x14ac:dyDescent="0.25">
      <c r="B6">
        <v>6.2</v>
      </c>
      <c r="D6" s="3">
        <v>41988</v>
      </c>
      <c r="G6">
        <v>23</v>
      </c>
      <c r="I6">
        <v>23</v>
      </c>
      <c r="K6">
        <v>23</v>
      </c>
      <c r="L6">
        <v>23</v>
      </c>
    </row>
    <row r="7" spans="1:12" x14ac:dyDescent="0.25">
      <c r="D7" s="3">
        <v>41989</v>
      </c>
      <c r="G7">
        <v>3</v>
      </c>
      <c r="I7">
        <v>3</v>
      </c>
      <c r="K7">
        <v>3</v>
      </c>
      <c r="L7">
        <v>3</v>
      </c>
    </row>
    <row r="8" spans="1:12" x14ac:dyDescent="0.25">
      <c r="D8" s="3">
        <v>41990</v>
      </c>
      <c r="G8">
        <v>5</v>
      </c>
      <c r="I8">
        <v>5</v>
      </c>
      <c r="K8">
        <v>5</v>
      </c>
      <c r="L8">
        <v>5</v>
      </c>
    </row>
    <row r="9" spans="1:12" x14ac:dyDescent="0.25">
      <c r="D9" s="3">
        <v>41991</v>
      </c>
      <c r="G9">
        <v>1</v>
      </c>
      <c r="I9">
        <v>1</v>
      </c>
      <c r="K9">
        <v>1</v>
      </c>
      <c r="L9">
        <v>1</v>
      </c>
    </row>
    <row r="10" spans="1:12" x14ac:dyDescent="0.25">
      <c r="D10" s="3">
        <v>41992</v>
      </c>
      <c r="G10">
        <v>7</v>
      </c>
      <c r="I10">
        <v>7</v>
      </c>
      <c r="K10">
        <v>7</v>
      </c>
      <c r="L10">
        <v>7</v>
      </c>
    </row>
  </sheetData>
  <conditionalFormatting sqref="B1:B6">
    <cfRule type="cellIs" dxfId="23" priority="17" operator="lessThan">
      <formula>5</formula>
    </cfRule>
    <cfRule type="cellIs" dxfId="22" priority="18" operator="greaterThan">
      <formula>5</formula>
    </cfRule>
  </conditionalFormatting>
  <conditionalFormatting sqref="B1:B6">
    <cfRule type="aboveAverage" dxfId="21" priority="16"/>
  </conditionalFormatting>
  <conditionalFormatting sqref="B6">
    <cfRule type="colorScale" priority="15">
      <colorScale>
        <cfvo type="min"/>
        <cfvo type="max"/>
        <color rgb="FFFF7128"/>
        <color rgb="FFFFEF9C"/>
      </colorScale>
    </cfRule>
  </conditionalFormatting>
  <conditionalFormatting sqref="B4">
    <cfRule type="duplicateValues" dxfId="20" priority="1"/>
    <cfRule type="cellIs" dxfId="19" priority="13" operator="between">
      <formula>1</formula>
      <formula>50</formula>
    </cfRule>
    <cfRule type="cellIs" dxfId="18" priority="14" operator="greaterThanOrEqual">
      <formula>50</formula>
    </cfRule>
  </conditionalFormatting>
  <conditionalFormatting sqref="G1:G6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I1:I6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:K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{47F80BDF-DD0E-4847-B0C7-750140F52CE3}</x14:id>
        </ext>
      </extLst>
    </cfRule>
  </conditionalFormatting>
  <conditionalFormatting sqref="L1:L6">
    <cfRule type="aboveAverage" dxfId="17" priority="8" stopIfTrue="1"/>
    <cfRule type="top10" dxfId="16" priority="9" stopIfTrue="1" percent="1" rank="10"/>
  </conditionalFormatting>
  <conditionalFormatting sqref="G7:G10">
    <cfRule type="iconSet" priority="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I7:I10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7:K1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{50AC30C0-E897-4863-8C37-1DC78477C58D}</x14:id>
        </ext>
      </extLst>
    </cfRule>
  </conditionalFormatting>
  <conditionalFormatting sqref="L7:L10">
    <cfRule type="aboveAverage" dxfId="15" priority="3" stopIfTrue="1"/>
    <cfRule type="top10" dxfId="14" priority="4" stopIfTrue="1" percent="1" rank="10"/>
  </conditionalFormatting>
  <conditionalFormatting sqref="D1:D10">
    <cfRule type="timePeriod" dxfId="13" priority="2" stopIfTrue="1" timePeriod="last7Days">
      <formula>AND(TODAY()-FLOOR(D1,1)&lt;=6,FLOOR(D1,1)&lt;=TODAY())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F80BDF-DD0E-4847-B0C7-750140F52C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K1:K6</xm:sqref>
        </x14:conditionalFormatting>
        <x14:conditionalFormatting xmlns:xm="http://schemas.microsoft.com/office/excel/2006/main">
          <x14:cfRule type="dataBar" id="{50AC30C0-E897-4863-8C37-1DC78477C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K7:K10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4:A7"/>
  <sheetViews>
    <sheetView workbookViewId="0">
      <selection activeCell="A4" sqref="A4:A7"/>
    </sheetView>
  </sheetViews>
  <sheetFormatPr defaultRowHeight="15" x14ac:dyDescent="0.25"/>
  <sheetData>
    <row r="4" spans="1:1" x14ac:dyDescent="0.25">
      <c r="A4">
        <v>1</v>
      </c>
    </row>
    <row r="5" spans="1:1" x14ac:dyDescent="0.25">
      <c r="A5">
        <v>2</v>
      </c>
    </row>
    <row r="6" spans="1:1" x14ac:dyDescent="0.25">
      <c r="A6">
        <v>3</v>
      </c>
    </row>
    <row r="7" spans="1:1" x14ac:dyDescent="0.25">
      <c r="A7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3"/>
  <sheetViews>
    <sheetView workbookViewId="0"/>
  </sheetViews>
  <sheetFormatPr defaultRowHeight="15" x14ac:dyDescent="0.25"/>
  <cols>
    <col min="1" max="1" width="14.7109375" bestFit="1" customWidth="1"/>
    <col min="2" max="2" width="8.42578125" bestFit="1" customWidth="1"/>
    <col min="3" max="3" width="12.28515625" bestFit="1" customWidth="1"/>
    <col min="4" max="4" width="14.85546875" bestFit="1" customWidth="1"/>
    <col min="5" max="5" width="11.85546875" bestFit="1" customWidth="1"/>
    <col min="6" max="6" width="8.28515625" bestFit="1" customWidth="1"/>
    <col min="7" max="7" width="12" bestFit="1" customWidth="1"/>
    <col min="8" max="8" width="7.140625" bestFit="1" customWidth="1"/>
    <col min="9" max="9" width="20" bestFit="1" customWidth="1"/>
    <col min="10" max="10" width="10.28515625" bestFit="1" customWidth="1"/>
    <col min="11" max="11" width="6.5703125" bestFit="1" customWidth="1"/>
    <col min="12" max="12" width="7.7109375" bestFit="1" customWidth="1"/>
    <col min="13" max="13" width="9.28515625" bestFit="1" customWidth="1"/>
    <col min="14" max="14" width="13.140625" bestFit="1" customWidth="1"/>
    <col min="15" max="15" width="17.28515625" bestFit="1" customWidth="1"/>
    <col min="16" max="16" width="14.140625" bestFit="1" customWidth="1"/>
    <col min="17" max="17" width="13.7109375" bestFit="1" customWidth="1"/>
    <col min="18" max="18" width="15.42578125" bestFit="1" customWidth="1"/>
    <col min="19" max="19" width="13.42578125" bestFit="1" customWidth="1"/>
    <col min="20" max="20" width="19" bestFit="1" customWidth="1"/>
    <col min="21" max="21" width="15.28515625" bestFit="1" customWidth="1"/>
    <col min="22" max="22" width="16.42578125" bestFit="1" customWidth="1"/>
    <col min="23" max="23" width="11.42578125" bestFit="1" customWidth="1"/>
    <col min="24" max="24" width="13" bestFit="1" customWidth="1"/>
    <col min="25" max="25" width="21.7109375" bestFit="1" customWidth="1"/>
    <col min="26" max="26" width="22.140625" bestFit="1" customWidth="1"/>
    <col min="27" max="27" width="15" bestFit="1" customWidth="1"/>
    <col min="28" max="28" width="20.28515625" bestFit="1" customWidth="1"/>
    <col min="29" max="29" width="13.140625" bestFit="1" customWidth="1"/>
    <col min="30" max="30" width="16.5703125" bestFit="1" customWidth="1"/>
    <col min="31" max="31" width="17.42578125" bestFit="1" customWidth="1"/>
    <col min="32" max="32" width="14.7109375" bestFit="1" customWidth="1"/>
    <col min="33" max="33" width="15.7109375" bestFit="1" customWidth="1"/>
    <col min="34" max="34" width="10.42578125" bestFit="1" customWidth="1"/>
    <col min="35" max="35" width="14.42578125" bestFit="1" customWidth="1"/>
    <col min="36" max="36" width="8.42578125" bestFit="1" customWidth="1"/>
  </cols>
  <sheetData>
    <row r="1" spans="1:3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</row>
    <row r="2" spans="1:36" x14ac:dyDescent="0.25">
      <c r="W2" s="3"/>
      <c r="AA2" s="3"/>
      <c r="AC2" s="3"/>
      <c r="AE2" s="3"/>
      <c r="AG2" s="3"/>
    </row>
    <row r="3" spans="1:36" x14ac:dyDescent="0.25">
      <c r="W3" s="3"/>
      <c r="AA3" s="3"/>
      <c r="AC3" s="3"/>
      <c r="AE3" s="3"/>
      <c r="AG3" s="3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V44"/>
  <sheetViews>
    <sheetView workbookViewId="0">
      <selection activeCell="C8" sqref="C8"/>
    </sheetView>
  </sheetViews>
  <sheetFormatPr defaultRowHeight="15" x14ac:dyDescent="0.25"/>
  <cols>
    <col min="1" max="1" width="9.5703125" bestFit="1" customWidth="1"/>
    <col min="2" max="2" width="21.7109375" bestFit="1" customWidth="1"/>
    <col min="3" max="3" width="25.5703125" bestFit="1" customWidth="1"/>
    <col min="4" max="4" width="21.7109375" bestFit="1" customWidth="1"/>
    <col min="5" max="5" width="22.85546875" bestFit="1" customWidth="1"/>
    <col min="6" max="6" width="22.7109375" bestFit="1" customWidth="1"/>
    <col min="7" max="7" width="16" bestFit="1" customWidth="1"/>
    <col min="8" max="8" width="18.85546875" bestFit="1" customWidth="1"/>
    <col min="9" max="9" width="20.140625" bestFit="1" customWidth="1"/>
    <col min="10" max="10" width="17.7109375" bestFit="1" customWidth="1"/>
    <col min="11" max="11" width="17.5703125" bestFit="1" customWidth="1"/>
    <col min="12" max="12" width="19.5703125" bestFit="1" customWidth="1"/>
    <col min="13" max="13" width="18.7109375" bestFit="1" customWidth="1"/>
    <col min="14" max="14" width="15" bestFit="1" customWidth="1"/>
    <col min="15" max="15" width="23.28515625" bestFit="1" customWidth="1"/>
    <col min="16" max="16" width="28.28515625" bestFit="1" customWidth="1"/>
    <col min="17" max="17" width="26.140625" bestFit="1" customWidth="1"/>
    <col min="18" max="18" width="34" bestFit="1" customWidth="1"/>
    <col min="19" max="19" width="25" bestFit="1" customWidth="1"/>
    <col min="20" max="20" width="12" bestFit="1" customWidth="1"/>
    <col min="21" max="21" width="16.140625" bestFit="1" customWidth="1"/>
    <col min="22" max="22" width="11.85546875" bestFit="1" customWidth="1"/>
  </cols>
  <sheetData>
    <row r="1" spans="1:22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5">
      <c r="A2">
        <v>1</v>
      </c>
      <c r="B2" t="s">
        <v>67</v>
      </c>
      <c r="C2" t="s">
        <v>68</v>
      </c>
      <c r="D2" t="s">
        <v>69</v>
      </c>
      <c r="E2" t="s">
        <v>70</v>
      </c>
      <c r="F2" s="4">
        <v>41600.766236574076</v>
      </c>
      <c r="G2">
        <v>30</v>
      </c>
      <c r="H2" t="s">
        <v>71</v>
      </c>
      <c r="I2" s="4"/>
      <c r="J2" t="s">
        <v>72</v>
      </c>
      <c r="K2" s="4">
        <v>41604.586448726855</v>
      </c>
      <c r="L2" s="4">
        <v>41599.769075266202</v>
      </c>
      <c r="N2" s="4"/>
      <c r="O2">
        <v>10</v>
      </c>
      <c r="Q2">
        <v>0</v>
      </c>
      <c r="R2">
        <v>0</v>
      </c>
      <c r="S2" s="4">
        <v>41418.425923379633</v>
      </c>
      <c r="T2" t="s">
        <v>6</v>
      </c>
      <c r="U2" t="s">
        <v>73</v>
      </c>
      <c r="V2">
        <v>1</v>
      </c>
    </row>
    <row r="3" spans="1:22" x14ac:dyDescent="0.25">
      <c r="A3">
        <v>2</v>
      </c>
      <c r="B3" t="s">
        <v>74</v>
      </c>
      <c r="C3" t="s">
        <v>72</v>
      </c>
      <c r="D3" t="s">
        <v>75</v>
      </c>
      <c r="E3" t="s">
        <v>76</v>
      </c>
      <c r="F3" s="4">
        <v>41418.732316631947</v>
      </c>
      <c r="G3">
        <v>30</v>
      </c>
      <c r="H3" t="s">
        <v>71</v>
      </c>
      <c r="I3" s="4"/>
      <c r="K3" s="4"/>
      <c r="L3" s="4"/>
      <c r="N3" s="4"/>
      <c r="O3">
        <v>10</v>
      </c>
      <c r="P3">
        <v>10</v>
      </c>
      <c r="Q3">
        <v>1</v>
      </c>
      <c r="R3">
        <v>10</v>
      </c>
      <c r="S3" s="4">
        <v>41418.732316631947</v>
      </c>
      <c r="T3" t="s">
        <v>77</v>
      </c>
      <c r="U3" t="s">
        <v>73</v>
      </c>
      <c r="V3">
        <v>2</v>
      </c>
    </row>
    <row r="4" spans="1:22" x14ac:dyDescent="0.25">
      <c r="A4">
        <v>3</v>
      </c>
      <c r="B4" t="s">
        <v>78</v>
      </c>
      <c r="C4" t="s">
        <v>72</v>
      </c>
      <c r="D4" t="s">
        <v>79</v>
      </c>
      <c r="E4" t="s">
        <v>80</v>
      </c>
      <c r="F4" s="4">
        <v>41418.732321875003</v>
      </c>
      <c r="G4">
        <v>30</v>
      </c>
      <c r="H4" t="s">
        <v>71</v>
      </c>
      <c r="I4" s="4"/>
      <c r="K4" s="4"/>
      <c r="L4" s="4"/>
      <c r="N4" s="4"/>
      <c r="O4">
        <v>10</v>
      </c>
      <c r="P4">
        <v>10</v>
      </c>
      <c r="Q4">
        <v>1</v>
      </c>
      <c r="R4">
        <v>10</v>
      </c>
      <c r="S4" s="4">
        <v>41418.732321875003</v>
      </c>
      <c r="T4" t="s">
        <v>77</v>
      </c>
      <c r="U4" t="s">
        <v>73</v>
      </c>
      <c r="V4">
        <v>2</v>
      </c>
    </row>
    <row r="5" spans="1:22" x14ac:dyDescent="0.25">
      <c r="A5">
        <v>4</v>
      </c>
      <c r="B5" t="s">
        <v>81</v>
      </c>
      <c r="C5" t="s">
        <v>72</v>
      </c>
      <c r="D5" t="s">
        <v>82</v>
      </c>
      <c r="E5" t="s">
        <v>83</v>
      </c>
      <c r="F5" s="4">
        <v>41418.732326620368</v>
      </c>
      <c r="G5">
        <v>30</v>
      </c>
      <c r="H5" t="s">
        <v>71</v>
      </c>
      <c r="I5" s="4"/>
      <c r="J5" t="s">
        <v>72</v>
      </c>
      <c r="K5" s="4">
        <v>41603.801426076388</v>
      </c>
      <c r="L5" s="4"/>
      <c r="N5" s="4"/>
      <c r="O5">
        <v>10</v>
      </c>
      <c r="Q5">
        <v>0</v>
      </c>
      <c r="R5">
        <v>0</v>
      </c>
      <c r="S5" s="4">
        <v>41418.732326620368</v>
      </c>
      <c r="T5" t="s">
        <v>6</v>
      </c>
      <c r="U5" t="s">
        <v>73</v>
      </c>
      <c r="V5">
        <v>2</v>
      </c>
    </row>
    <row r="6" spans="1:22" x14ac:dyDescent="0.25">
      <c r="A6">
        <v>5</v>
      </c>
      <c r="B6" t="s">
        <v>84</v>
      </c>
      <c r="C6" t="s">
        <v>72</v>
      </c>
      <c r="D6" t="s">
        <v>85</v>
      </c>
      <c r="E6" t="s">
        <v>86</v>
      </c>
      <c r="F6" s="4">
        <v>41418.732331134262</v>
      </c>
      <c r="G6">
        <v>30</v>
      </c>
      <c r="H6" t="s">
        <v>71</v>
      </c>
      <c r="I6" s="4"/>
      <c r="J6" t="s">
        <v>72</v>
      </c>
      <c r="K6" s="4">
        <v>41472.592488854163</v>
      </c>
      <c r="L6" s="4">
        <v>41472.676242974536</v>
      </c>
      <c r="N6" s="4"/>
      <c r="O6">
        <v>10</v>
      </c>
      <c r="Q6">
        <v>0</v>
      </c>
      <c r="R6">
        <v>0</v>
      </c>
      <c r="S6" s="4">
        <v>41418.732331134262</v>
      </c>
      <c r="T6" t="s">
        <v>6</v>
      </c>
      <c r="U6" t="s">
        <v>73</v>
      </c>
      <c r="V6">
        <v>2</v>
      </c>
    </row>
    <row r="7" spans="1:22" x14ac:dyDescent="0.25">
      <c r="A7">
        <v>6</v>
      </c>
      <c r="B7" t="s">
        <v>87</v>
      </c>
      <c r="C7" t="s">
        <v>72</v>
      </c>
      <c r="D7" t="s">
        <v>88</v>
      </c>
      <c r="E7" t="s">
        <v>89</v>
      </c>
      <c r="F7" s="4">
        <v>41418.732335300927</v>
      </c>
      <c r="G7">
        <v>30</v>
      </c>
      <c r="H7" t="s">
        <v>71</v>
      </c>
      <c r="I7" s="4"/>
      <c r="J7" t="s">
        <v>72</v>
      </c>
      <c r="K7" s="4">
        <v>41599.782420567128</v>
      </c>
      <c r="L7" s="4">
        <v>41419.57797392361</v>
      </c>
      <c r="N7" s="4"/>
      <c r="O7">
        <v>10</v>
      </c>
      <c r="Q7">
        <v>0</v>
      </c>
      <c r="R7">
        <v>0</v>
      </c>
      <c r="S7" s="4">
        <v>41418.732335300927</v>
      </c>
      <c r="T7" t="s">
        <v>6</v>
      </c>
      <c r="U7" t="s">
        <v>73</v>
      </c>
      <c r="V7">
        <v>2</v>
      </c>
    </row>
    <row r="8" spans="1:22" x14ac:dyDescent="0.25">
      <c r="A8">
        <v>7</v>
      </c>
      <c r="B8" t="s">
        <v>90</v>
      </c>
      <c r="C8" t="s">
        <v>72</v>
      </c>
      <c r="D8" t="s">
        <v>91</v>
      </c>
      <c r="E8" t="s">
        <v>92</v>
      </c>
      <c r="F8" s="4">
        <v>41418.732751736112</v>
      </c>
      <c r="G8">
        <v>30</v>
      </c>
      <c r="H8" t="s">
        <v>71</v>
      </c>
      <c r="I8" s="4"/>
      <c r="J8" t="s">
        <v>72</v>
      </c>
      <c r="K8" s="4">
        <v>41472.696119907407</v>
      </c>
      <c r="L8" s="4">
        <v>41472.696210532406</v>
      </c>
      <c r="N8" s="4"/>
      <c r="O8">
        <v>10</v>
      </c>
      <c r="Q8">
        <v>0</v>
      </c>
      <c r="R8">
        <v>0</v>
      </c>
      <c r="S8" s="4">
        <v>41418.732751736112</v>
      </c>
      <c r="T8" t="s">
        <v>6</v>
      </c>
      <c r="U8" t="s">
        <v>73</v>
      </c>
      <c r="V8">
        <v>2</v>
      </c>
    </row>
    <row r="9" spans="1:22" x14ac:dyDescent="0.25">
      <c r="A9">
        <v>8</v>
      </c>
      <c r="B9" t="s">
        <v>93</v>
      </c>
      <c r="C9" t="s">
        <v>72</v>
      </c>
      <c r="D9" t="s">
        <v>94</v>
      </c>
      <c r="E9" t="s">
        <v>95</v>
      </c>
      <c r="F9" s="4">
        <v>41419.432107291665</v>
      </c>
      <c r="G9">
        <v>30</v>
      </c>
      <c r="H9" t="s">
        <v>71</v>
      </c>
      <c r="I9" s="4"/>
      <c r="K9" s="4"/>
      <c r="L9" s="4"/>
      <c r="N9" s="4"/>
      <c r="O9">
        <v>10</v>
      </c>
      <c r="P9">
        <v>10</v>
      </c>
      <c r="Q9">
        <v>1</v>
      </c>
      <c r="R9">
        <v>10</v>
      </c>
      <c r="S9" s="4">
        <v>41419.432107291665</v>
      </c>
      <c r="T9" t="s">
        <v>77</v>
      </c>
      <c r="U9" t="s">
        <v>73</v>
      </c>
      <c r="V9">
        <v>2</v>
      </c>
    </row>
    <row r="10" spans="1:22" x14ac:dyDescent="0.25">
      <c r="A10">
        <v>9</v>
      </c>
      <c r="B10" t="s">
        <v>96</v>
      </c>
      <c r="C10" t="s">
        <v>72</v>
      </c>
      <c r="D10" t="s">
        <v>97</v>
      </c>
      <c r="E10" t="s">
        <v>98</v>
      </c>
      <c r="F10" s="4">
        <v>41419.435077395836</v>
      </c>
      <c r="G10">
        <v>30</v>
      </c>
      <c r="H10" t="s">
        <v>71</v>
      </c>
      <c r="I10" s="4"/>
      <c r="K10" s="4"/>
      <c r="L10" s="4"/>
      <c r="N10" s="4"/>
      <c r="O10">
        <v>10</v>
      </c>
      <c r="P10">
        <v>10</v>
      </c>
      <c r="Q10">
        <v>1</v>
      </c>
      <c r="R10">
        <v>10</v>
      </c>
      <c r="S10" s="4">
        <v>41419.435077395836</v>
      </c>
      <c r="T10" t="s">
        <v>77</v>
      </c>
      <c r="U10" t="s">
        <v>73</v>
      </c>
      <c r="V10">
        <v>2</v>
      </c>
    </row>
    <row r="11" spans="1:22" x14ac:dyDescent="0.25">
      <c r="A11">
        <v>10</v>
      </c>
      <c r="B11" t="s">
        <v>99</v>
      </c>
      <c r="C11" t="s">
        <v>72</v>
      </c>
      <c r="D11" t="s">
        <v>99</v>
      </c>
      <c r="E11" t="s">
        <v>72</v>
      </c>
      <c r="F11" s="4">
        <v>41419.435079826391</v>
      </c>
      <c r="G11">
        <v>30</v>
      </c>
      <c r="H11" t="s">
        <v>71</v>
      </c>
      <c r="I11" s="4"/>
      <c r="K11" s="4"/>
      <c r="L11" s="4"/>
      <c r="N11" s="4"/>
      <c r="O11">
        <v>10</v>
      </c>
      <c r="P11">
        <v>10</v>
      </c>
      <c r="Q11">
        <v>1</v>
      </c>
      <c r="R11">
        <v>10</v>
      </c>
      <c r="S11" s="4">
        <v>41419.435079826391</v>
      </c>
      <c r="T11" t="s">
        <v>77</v>
      </c>
      <c r="U11" t="s">
        <v>73</v>
      </c>
      <c r="V11">
        <v>2</v>
      </c>
    </row>
    <row r="12" spans="1:22" x14ac:dyDescent="0.25">
      <c r="A12">
        <v>11</v>
      </c>
      <c r="B12" t="s">
        <v>100</v>
      </c>
      <c r="C12" t="s">
        <v>72</v>
      </c>
      <c r="D12" t="s">
        <v>101</v>
      </c>
      <c r="E12" t="s">
        <v>102</v>
      </c>
      <c r="F12" s="4">
        <v>41470.599047835647</v>
      </c>
      <c r="G12">
        <v>30</v>
      </c>
      <c r="H12" t="s">
        <v>71</v>
      </c>
      <c r="I12" s="4"/>
      <c r="K12" s="4"/>
      <c r="L12" s="4"/>
      <c r="N12" s="4"/>
      <c r="O12">
        <v>10</v>
      </c>
      <c r="P12">
        <v>10</v>
      </c>
      <c r="Q12">
        <v>1</v>
      </c>
      <c r="R12">
        <v>10</v>
      </c>
      <c r="S12" s="4">
        <v>41470.599047835647</v>
      </c>
      <c r="T12" t="s">
        <v>77</v>
      </c>
      <c r="U12" t="s">
        <v>73</v>
      </c>
      <c r="V12">
        <v>2</v>
      </c>
    </row>
    <row r="13" spans="1:22" x14ac:dyDescent="0.25">
      <c r="A13">
        <v>12</v>
      </c>
      <c r="B13" t="s">
        <v>103</v>
      </c>
      <c r="C13" t="s">
        <v>72</v>
      </c>
      <c r="D13" t="s">
        <v>104</v>
      </c>
      <c r="E13" t="s">
        <v>105</v>
      </c>
      <c r="F13" s="4">
        <v>41477.608324803237</v>
      </c>
      <c r="G13">
        <v>30</v>
      </c>
      <c r="H13" t="s">
        <v>71</v>
      </c>
      <c r="I13" s="4"/>
      <c r="K13" s="4"/>
      <c r="L13" s="4"/>
      <c r="N13" s="4"/>
      <c r="O13">
        <v>10</v>
      </c>
      <c r="P13">
        <v>10</v>
      </c>
      <c r="Q13">
        <v>1</v>
      </c>
      <c r="R13">
        <v>10</v>
      </c>
      <c r="S13" s="4">
        <v>41477.608324803237</v>
      </c>
      <c r="T13" t="s">
        <v>77</v>
      </c>
      <c r="U13" t="s">
        <v>73</v>
      </c>
      <c r="V13">
        <v>2</v>
      </c>
    </row>
    <row r="14" spans="1:22" x14ac:dyDescent="0.25">
      <c r="A14">
        <v>13</v>
      </c>
      <c r="B14" t="s">
        <v>106</v>
      </c>
      <c r="C14" t="s">
        <v>72</v>
      </c>
      <c r="D14" t="s">
        <v>107</v>
      </c>
      <c r="E14" t="s">
        <v>108</v>
      </c>
      <c r="F14" s="4">
        <v>41541.570921296297</v>
      </c>
      <c r="G14">
        <v>30</v>
      </c>
      <c r="H14" t="s">
        <v>71</v>
      </c>
      <c r="I14" s="4"/>
      <c r="K14" s="4"/>
      <c r="L14" s="4"/>
      <c r="N14" s="4"/>
      <c r="O14">
        <v>10</v>
      </c>
      <c r="P14">
        <v>10</v>
      </c>
      <c r="Q14">
        <v>1</v>
      </c>
      <c r="R14">
        <v>10</v>
      </c>
      <c r="S14" s="4">
        <v>41520.600266979163</v>
      </c>
      <c r="T14" t="s">
        <v>6</v>
      </c>
      <c r="U14" t="s">
        <v>73</v>
      </c>
      <c r="V14">
        <v>2</v>
      </c>
    </row>
    <row r="15" spans="1:22" x14ac:dyDescent="0.25">
      <c r="A15">
        <v>14</v>
      </c>
      <c r="B15" t="s">
        <v>109</v>
      </c>
      <c r="C15" t="s">
        <v>72</v>
      </c>
      <c r="D15" t="s">
        <v>109</v>
      </c>
      <c r="E15" t="s">
        <v>110</v>
      </c>
      <c r="F15" s="4">
        <v>41541.502133530092</v>
      </c>
      <c r="G15">
        <v>30</v>
      </c>
      <c r="H15" t="s">
        <v>71</v>
      </c>
      <c r="I15" s="4"/>
      <c r="K15" s="4"/>
      <c r="L15" s="4"/>
      <c r="N15" s="4"/>
      <c r="O15">
        <v>10</v>
      </c>
      <c r="P15">
        <v>10</v>
      </c>
      <c r="Q15">
        <v>1</v>
      </c>
      <c r="R15">
        <v>10</v>
      </c>
      <c r="S15" s="4">
        <v>41520.601340127316</v>
      </c>
      <c r="T15" t="s">
        <v>6</v>
      </c>
      <c r="U15" t="s">
        <v>73</v>
      </c>
      <c r="V15">
        <v>2</v>
      </c>
    </row>
    <row r="16" spans="1:22" x14ac:dyDescent="0.25">
      <c r="A16">
        <v>15</v>
      </c>
      <c r="B16" t="s">
        <v>111</v>
      </c>
      <c r="C16" t="s">
        <v>72</v>
      </c>
      <c r="D16" t="s">
        <v>112</v>
      </c>
      <c r="E16" t="s">
        <v>113</v>
      </c>
      <c r="F16" s="4">
        <v>41520.655476886575</v>
      </c>
      <c r="G16">
        <v>30</v>
      </c>
      <c r="H16" t="s">
        <v>71</v>
      </c>
      <c r="I16" s="4"/>
      <c r="K16" s="4"/>
      <c r="L16" s="4"/>
      <c r="N16" s="4"/>
      <c r="O16">
        <v>10</v>
      </c>
      <c r="P16">
        <v>10</v>
      </c>
      <c r="Q16">
        <v>1</v>
      </c>
      <c r="R16">
        <v>10</v>
      </c>
      <c r="S16" s="4">
        <v>41520.655476886575</v>
      </c>
      <c r="T16" t="s">
        <v>77</v>
      </c>
      <c r="U16" t="s">
        <v>73</v>
      </c>
      <c r="V16">
        <v>2</v>
      </c>
    </row>
    <row r="17" spans="1:22" x14ac:dyDescent="0.25">
      <c r="A17">
        <v>16</v>
      </c>
      <c r="B17" t="s">
        <v>114</v>
      </c>
      <c r="C17" t="s">
        <v>72</v>
      </c>
      <c r="D17" t="s">
        <v>114</v>
      </c>
      <c r="E17" t="s">
        <v>115</v>
      </c>
      <c r="F17" s="4">
        <v>41521.740129513892</v>
      </c>
      <c r="G17">
        <v>30</v>
      </c>
      <c r="H17" t="s">
        <v>71</v>
      </c>
      <c r="I17" s="4"/>
      <c r="K17" s="4"/>
      <c r="L17" s="4"/>
      <c r="N17" s="4"/>
      <c r="O17">
        <v>10</v>
      </c>
      <c r="P17">
        <v>10</v>
      </c>
      <c r="Q17">
        <v>1</v>
      </c>
      <c r="R17">
        <v>10</v>
      </c>
      <c r="S17" s="4">
        <v>41521.740129513892</v>
      </c>
      <c r="T17" t="s">
        <v>77</v>
      </c>
      <c r="U17" t="s">
        <v>73</v>
      </c>
      <c r="V17">
        <v>2</v>
      </c>
    </row>
    <row r="18" spans="1:22" x14ac:dyDescent="0.25">
      <c r="A18">
        <v>17</v>
      </c>
      <c r="B18" t="s">
        <v>116</v>
      </c>
      <c r="C18" t="s">
        <v>72</v>
      </c>
      <c r="D18" t="s">
        <v>117</v>
      </c>
      <c r="E18" t="s">
        <v>118</v>
      </c>
      <c r="F18" s="4">
        <v>41521.743858946757</v>
      </c>
      <c r="G18">
        <v>30</v>
      </c>
      <c r="H18" t="s">
        <v>71</v>
      </c>
      <c r="I18" s="4"/>
      <c r="K18" s="4"/>
      <c r="L18" s="4"/>
      <c r="N18" s="4"/>
      <c r="O18">
        <v>10</v>
      </c>
      <c r="P18">
        <v>10</v>
      </c>
      <c r="Q18">
        <v>1</v>
      </c>
      <c r="R18">
        <v>10</v>
      </c>
      <c r="S18" s="4">
        <v>41521.743858946757</v>
      </c>
      <c r="T18" t="s">
        <v>77</v>
      </c>
      <c r="U18" t="s">
        <v>73</v>
      </c>
      <c r="V18">
        <v>2</v>
      </c>
    </row>
    <row r="19" spans="1:22" x14ac:dyDescent="0.25">
      <c r="A19">
        <v>18</v>
      </c>
      <c r="B19" t="s">
        <v>119</v>
      </c>
      <c r="C19" t="s">
        <v>72</v>
      </c>
      <c r="D19" t="s">
        <v>120</v>
      </c>
      <c r="E19" t="s">
        <v>121</v>
      </c>
      <c r="F19" s="4">
        <v>41522.417612152778</v>
      </c>
      <c r="G19">
        <v>30</v>
      </c>
      <c r="H19" t="s">
        <v>71</v>
      </c>
      <c r="I19" s="4"/>
      <c r="K19" s="4"/>
      <c r="L19" s="4"/>
      <c r="N19" s="4"/>
      <c r="O19">
        <v>10</v>
      </c>
      <c r="P19">
        <v>10</v>
      </c>
      <c r="Q19">
        <v>1</v>
      </c>
      <c r="R19">
        <v>10</v>
      </c>
      <c r="S19" s="4">
        <v>41522.417612152778</v>
      </c>
      <c r="T19" t="s">
        <v>77</v>
      </c>
      <c r="U19" t="s">
        <v>122</v>
      </c>
      <c r="V19">
        <v>2</v>
      </c>
    </row>
    <row r="20" spans="1:22" x14ac:dyDescent="0.25">
      <c r="A20">
        <v>19</v>
      </c>
      <c r="B20" t="s">
        <v>123</v>
      </c>
      <c r="C20" t="s">
        <v>72</v>
      </c>
      <c r="D20" t="s">
        <v>123</v>
      </c>
      <c r="E20" t="s">
        <v>124</v>
      </c>
      <c r="F20" s="4">
        <v>41522.421959756946</v>
      </c>
      <c r="G20">
        <v>30</v>
      </c>
      <c r="H20" t="s">
        <v>71</v>
      </c>
      <c r="I20" s="4"/>
      <c r="K20" s="4"/>
      <c r="L20" s="4"/>
      <c r="N20" s="4"/>
      <c r="O20">
        <v>10</v>
      </c>
      <c r="P20">
        <v>10</v>
      </c>
      <c r="Q20">
        <v>1</v>
      </c>
      <c r="R20">
        <v>10</v>
      </c>
      <c r="S20" s="4">
        <v>41522.421959756946</v>
      </c>
      <c r="T20" t="s">
        <v>77</v>
      </c>
      <c r="U20" t="s">
        <v>73</v>
      </c>
      <c r="V20">
        <v>2</v>
      </c>
    </row>
    <row r="21" spans="1:22" x14ac:dyDescent="0.25">
      <c r="A21">
        <v>20</v>
      </c>
      <c r="B21" t="s">
        <v>125</v>
      </c>
      <c r="C21" t="s">
        <v>72</v>
      </c>
      <c r="D21" t="s">
        <v>126</v>
      </c>
      <c r="E21" t="s">
        <v>127</v>
      </c>
      <c r="F21" s="4">
        <v>41522.428142557874</v>
      </c>
      <c r="G21">
        <v>30</v>
      </c>
      <c r="H21" t="s">
        <v>71</v>
      </c>
      <c r="I21" s="4"/>
      <c r="K21" s="4"/>
      <c r="L21" s="4"/>
      <c r="N21" s="4"/>
      <c r="O21">
        <v>10</v>
      </c>
      <c r="P21">
        <v>10</v>
      </c>
      <c r="Q21">
        <v>1</v>
      </c>
      <c r="R21">
        <v>10</v>
      </c>
      <c r="S21" s="4">
        <v>41522.428142557874</v>
      </c>
      <c r="T21" t="s">
        <v>77</v>
      </c>
      <c r="U21" t="s">
        <v>73</v>
      </c>
      <c r="V21">
        <v>2</v>
      </c>
    </row>
    <row r="22" spans="1:22" x14ac:dyDescent="0.25">
      <c r="A22">
        <v>21</v>
      </c>
      <c r="B22" t="s">
        <v>128</v>
      </c>
      <c r="C22" t="s">
        <v>72</v>
      </c>
      <c r="D22" t="s">
        <v>128</v>
      </c>
      <c r="E22" t="s">
        <v>129</v>
      </c>
      <c r="F22" s="4">
        <v>41522.429368368059</v>
      </c>
      <c r="G22">
        <v>30</v>
      </c>
      <c r="H22" t="s">
        <v>71</v>
      </c>
      <c r="I22" s="4"/>
      <c r="K22" s="4"/>
      <c r="L22" s="4"/>
      <c r="N22" s="4"/>
      <c r="O22">
        <v>10</v>
      </c>
      <c r="P22">
        <v>10</v>
      </c>
      <c r="Q22">
        <v>1</v>
      </c>
      <c r="R22">
        <v>10</v>
      </c>
      <c r="S22" s="4">
        <v>41522.429368368059</v>
      </c>
      <c r="T22" t="s">
        <v>77</v>
      </c>
      <c r="U22" t="s">
        <v>73</v>
      </c>
      <c r="V22">
        <v>2</v>
      </c>
    </row>
    <row r="23" spans="1:22" x14ac:dyDescent="0.25">
      <c r="A23">
        <v>22</v>
      </c>
      <c r="B23" t="s">
        <v>130</v>
      </c>
      <c r="C23" t="s">
        <v>72</v>
      </c>
      <c r="D23" t="s">
        <v>131</v>
      </c>
      <c r="E23" t="s">
        <v>132</v>
      </c>
      <c r="F23" s="4">
        <v>41522.434295289349</v>
      </c>
      <c r="G23">
        <v>30</v>
      </c>
      <c r="H23" t="s">
        <v>71</v>
      </c>
      <c r="I23" s="4"/>
      <c r="K23" s="4"/>
      <c r="L23" s="4"/>
      <c r="N23" s="4"/>
      <c r="O23">
        <v>10</v>
      </c>
      <c r="P23">
        <v>10</v>
      </c>
      <c r="Q23">
        <v>1</v>
      </c>
      <c r="R23">
        <v>10</v>
      </c>
      <c r="S23" s="4">
        <v>41522.434295289349</v>
      </c>
      <c r="T23" t="s">
        <v>77</v>
      </c>
      <c r="U23" t="s">
        <v>73</v>
      </c>
      <c r="V23">
        <v>2</v>
      </c>
    </row>
    <row r="24" spans="1:22" x14ac:dyDescent="0.25">
      <c r="A24">
        <v>23</v>
      </c>
      <c r="B24" t="s">
        <v>133</v>
      </c>
      <c r="C24" t="s">
        <v>72</v>
      </c>
      <c r="D24" t="s">
        <v>133</v>
      </c>
      <c r="E24" t="s">
        <v>134</v>
      </c>
      <c r="F24" s="4">
        <v>41522.438536377318</v>
      </c>
      <c r="G24">
        <v>30</v>
      </c>
      <c r="H24" t="s">
        <v>71</v>
      </c>
      <c r="I24" s="4"/>
      <c r="K24" s="4"/>
      <c r="L24" s="4"/>
      <c r="N24" s="4"/>
      <c r="O24">
        <v>10</v>
      </c>
      <c r="P24">
        <v>10</v>
      </c>
      <c r="Q24">
        <v>1</v>
      </c>
      <c r="R24">
        <v>10</v>
      </c>
      <c r="S24" s="4">
        <v>41522.438536377318</v>
      </c>
      <c r="T24" t="s">
        <v>77</v>
      </c>
      <c r="U24" t="s">
        <v>73</v>
      </c>
      <c r="V24">
        <v>2</v>
      </c>
    </row>
    <row r="25" spans="1:22" x14ac:dyDescent="0.25">
      <c r="A25">
        <v>24</v>
      </c>
      <c r="B25" t="s">
        <v>135</v>
      </c>
      <c r="C25" t="s">
        <v>72</v>
      </c>
      <c r="D25" t="s">
        <v>135</v>
      </c>
      <c r="E25" t="s">
        <v>136</v>
      </c>
      <c r="F25" s="4">
        <v>41522.438548645834</v>
      </c>
      <c r="G25">
        <v>30</v>
      </c>
      <c r="H25" t="s">
        <v>71</v>
      </c>
      <c r="I25" s="4"/>
      <c r="K25" s="4"/>
      <c r="L25" s="4"/>
      <c r="N25" s="4"/>
      <c r="O25">
        <v>10</v>
      </c>
      <c r="P25">
        <v>10</v>
      </c>
      <c r="Q25">
        <v>1</v>
      </c>
      <c r="R25">
        <v>10</v>
      </c>
      <c r="S25" s="4">
        <v>41522.438548645834</v>
      </c>
      <c r="T25" t="s">
        <v>77</v>
      </c>
      <c r="U25" t="s">
        <v>73</v>
      </c>
      <c r="V25">
        <v>2</v>
      </c>
    </row>
    <row r="26" spans="1:22" x14ac:dyDescent="0.25">
      <c r="A26">
        <v>26</v>
      </c>
      <c r="B26" t="s">
        <v>137</v>
      </c>
      <c r="C26" t="s">
        <v>72</v>
      </c>
      <c r="D26" t="s">
        <v>137</v>
      </c>
      <c r="E26" t="s">
        <v>72</v>
      </c>
      <c r="F26" s="4">
        <v>41523.679572488429</v>
      </c>
      <c r="G26">
        <v>30</v>
      </c>
      <c r="H26" t="s">
        <v>71</v>
      </c>
      <c r="I26" s="4"/>
      <c r="K26" s="4"/>
      <c r="L26" s="4"/>
      <c r="N26" s="4"/>
      <c r="O26">
        <v>10</v>
      </c>
      <c r="P26">
        <v>10</v>
      </c>
      <c r="Q26">
        <v>1</v>
      </c>
      <c r="R26">
        <v>10</v>
      </c>
      <c r="S26" s="4">
        <v>41523.679572488429</v>
      </c>
      <c r="T26" t="s">
        <v>77</v>
      </c>
      <c r="U26" t="s">
        <v>73</v>
      </c>
      <c r="V26">
        <v>2</v>
      </c>
    </row>
    <row r="27" spans="1:22" x14ac:dyDescent="0.25">
      <c r="A27">
        <v>27</v>
      </c>
      <c r="B27" t="s">
        <v>138</v>
      </c>
      <c r="C27" t="s">
        <v>72</v>
      </c>
      <c r="D27" t="s">
        <v>138</v>
      </c>
      <c r="E27" t="s">
        <v>139</v>
      </c>
      <c r="F27" s="4">
        <v>41530.454970798608</v>
      </c>
      <c r="G27">
        <v>30</v>
      </c>
      <c r="H27" t="s">
        <v>71</v>
      </c>
      <c r="I27" s="4"/>
      <c r="K27" s="4"/>
      <c r="L27" s="4"/>
      <c r="N27" s="4"/>
      <c r="O27">
        <v>10</v>
      </c>
      <c r="P27">
        <v>10</v>
      </c>
      <c r="Q27">
        <v>1</v>
      </c>
      <c r="R27">
        <v>10</v>
      </c>
      <c r="S27" s="4">
        <v>41530.454970798608</v>
      </c>
      <c r="T27" t="s">
        <v>77</v>
      </c>
      <c r="U27" t="s">
        <v>73</v>
      </c>
      <c r="V27">
        <v>2</v>
      </c>
    </row>
    <row r="28" spans="1:22" x14ac:dyDescent="0.25">
      <c r="A28">
        <v>28</v>
      </c>
      <c r="B28" t="s">
        <v>140</v>
      </c>
      <c r="C28" t="s">
        <v>72</v>
      </c>
      <c r="D28" t="s">
        <v>141</v>
      </c>
      <c r="E28" t="s">
        <v>142</v>
      </c>
      <c r="F28" s="4">
        <v>41541.558547997687</v>
      </c>
      <c r="G28">
        <v>30</v>
      </c>
      <c r="H28" t="s">
        <v>71</v>
      </c>
      <c r="I28" s="4"/>
      <c r="K28" s="4"/>
      <c r="L28" s="4"/>
      <c r="N28" s="4"/>
      <c r="O28">
        <v>10</v>
      </c>
      <c r="P28">
        <v>10</v>
      </c>
      <c r="Q28">
        <v>1</v>
      </c>
      <c r="R28">
        <v>10</v>
      </c>
      <c r="S28" s="4">
        <v>41530.456535150464</v>
      </c>
      <c r="T28" t="s">
        <v>6</v>
      </c>
      <c r="U28" t="s">
        <v>73</v>
      </c>
      <c r="V28">
        <v>2</v>
      </c>
    </row>
    <row r="29" spans="1:22" x14ac:dyDescent="0.25">
      <c r="A29">
        <v>29</v>
      </c>
      <c r="B29" t="s">
        <v>143</v>
      </c>
      <c r="C29" t="s">
        <v>72</v>
      </c>
      <c r="D29" t="s">
        <v>143</v>
      </c>
      <c r="E29" t="s">
        <v>72</v>
      </c>
      <c r="F29" s="4">
        <v>41530.456555289355</v>
      </c>
      <c r="G29">
        <v>30</v>
      </c>
      <c r="H29" t="s">
        <v>71</v>
      </c>
      <c r="I29" s="4"/>
      <c r="K29" s="4"/>
      <c r="L29" s="4"/>
      <c r="N29" s="4"/>
      <c r="O29">
        <v>10</v>
      </c>
      <c r="P29">
        <v>10</v>
      </c>
      <c r="Q29">
        <v>1</v>
      </c>
      <c r="R29">
        <v>10</v>
      </c>
      <c r="S29" s="4">
        <v>41530.456555289355</v>
      </c>
      <c r="T29" t="s">
        <v>77</v>
      </c>
      <c r="U29" t="s">
        <v>73</v>
      </c>
      <c r="V29">
        <v>2</v>
      </c>
    </row>
    <row r="30" spans="1:22" x14ac:dyDescent="0.25">
      <c r="A30">
        <v>30</v>
      </c>
      <c r="B30" t="s">
        <v>144</v>
      </c>
      <c r="C30" t="s">
        <v>72</v>
      </c>
      <c r="D30" t="s">
        <v>145</v>
      </c>
      <c r="E30" t="s">
        <v>146</v>
      </c>
      <c r="F30" s="4">
        <v>41530.457123113425</v>
      </c>
      <c r="G30">
        <v>30</v>
      </c>
      <c r="H30" t="s">
        <v>71</v>
      </c>
      <c r="I30" s="4"/>
      <c r="K30" s="4">
        <v>41599.436920486114</v>
      </c>
      <c r="L30" s="4"/>
      <c r="N30" s="4"/>
      <c r="O30">
        <v>10</v>
      </c>
      <c r="P30">
        <v>10</v>
      </c>
      <c r="Q30">
        <v>1</v>
      </c>
      <c r="R30">
        <v>10</v>
      </c>
      <c r="S30" s="4">
        <v>41530.457123113425</v>
      </c>
      <c r="T30" t="s">
        <v>77</v>
      </c>
      <c r="U30" t="s">
        <v>73</v>
      </c>
      <c r="V30">
        <v>2</v>
      </c>
    </row>
    <row r="31" spans="1:22" x14ac:dyDescent="0.25">
      <c r="A31">
        <v>32</v>
      </c>
      <c r="B31" t="s">
        <v>147</v>
      </c>
      <c r="C31" t="s">
        <v>72</v>
      </c>
      <c r="D31" t="s">
        <v>148</v>
      </c>
      <c r="E31" t="s">
        <v>149</v>
      </c>
      <c r="F31" s="4">
        <v>41530.458977465278</v>
      </c>
      <c r="G31">
        <v>30</v>
      </c>
      <c r="H31" t="s">
        <v>71</v>
      </c>
      <c r="I31" s="4"/>
      <c r="K31" s="4"/>
      <c r="L31" s="4"/>
      <c r="N31" s="4"/>
      <c r="O31">
        <v>10</v>
      </c>
      <c r="P31">
        <v>10</v>
      </c>
      <c r="Q31">
        <v>1</v>
      </c>
      <c r="R31">
        <v>10</v>
      </c>
      <c r="S31" s="4">
        <v>41530.458977465278</v>
      </c>
      <c r="T31" t="s">
        <v>77</v>
      </c>
      <c r="U31" t="s">
        <v>73</v>
      </c>
      <c r="V31">
        <v>2</v>
      </c>
    </row>
    <row r="32" spans="1:22" x14ac:dyDescent="0.25">
      <c r="A32">
        <v>36</v>
      </c>
      <c r="B32" t="s">
        <v>150</v>
      </c>
      <c r="C32" t="s">
        <v>72</v>
      </c>
      <c r="D32" t="s">
        <v>150</v>
      </c>
      <c r="E32" t="s">
        <v>72</v>
      </c>
      <c r="F32" s="4">
        <v>41530.462138194445</v>
      </c>
      <c r="G32">
        <v>30</v>
      </c>
      <c r="H32" t="s">
        <v>71</v>
      </c>
      <c r="I32" s="4"/>
      <c r="K32" s="4"/>
      <c r="L32" s="4"/>
      <c r="N32" s="4"/>
      <c r="O32">
        <v>10</v>
      </c>
      <c r="P32">
        <v>10</v>
      </c>
      <c r="Q32">
        <v>1</v>
      </c>
      <c r="R32">
        <v>10</v>
      </c>
      <c r="S32" s="4">
        <v>41530.462138194445</v>
      </c>
      <c r="T32" t="s">
        <v>77</v>
      </c>
      <c r="U32" t="s">
        <v>73</v>
      </c>
      <c r="V32">
        <v>2</v>
      </c>
    </row>
    <row r="33" spans="1:22" x14ac:dyDescent="0.25">
      <c r="A33">
        <v>37</v>
      </c>
      <c r="B33" t="s">
        <v>151</v>
      </c>
      <c r="C33" t="s">
        <v>72</v>
      </c>
      <c r="D33" t="s">
        <v>152</v>
      </c>
      <c r="E33" t="s">
        <v>72</v>
      </c>
      <c r="F33" s="4">
        <v>41530.462877465281</v>
      </c>
      <c r="G33">
        <v>30</v>
      </c>
      <c r="H33" t="s">
        <v>71</v>
      </c>
      <c r="I33" s="4"/>
      <c r="K33" s="4"/>
      <c r="L33" s="4"/>
      <c r="N33" s="4"/>
      <c r="O33">
        <v>10</v>
      </c>
      <c r="P33">
        <v>10</v>
      </c>
      <c r="Q33">
        <v>1</v>
      </c>
      <c r="R33">
        <v>10</v>
      </c>
      <c r="S33" s="4">
        <v>41530.462877465281</v>
      </c>
      <c r="T33" t="s">
        <v>77</v>
      </c>
      <c r="U33" t="s">
        <v>73</v>
      </c>
      <c r="V33">
        <v>2</v>
      </c>
    </row>
    <row r="34" spans="1:22" x14ac:dyDescent="0.25">
      <c r="A34">
        <v>38</v>
      </c>
      <c r="B34" t="s">
        <v>153</v>
      </c>
      <c r="C34" t="s">
        <v>72</v>
      </c>
      <c r="D34" t="s">
        <v>154</v>
      </c>
      <c r="E34" t="s">
        <v>155</v>
      </c>
      <c r="F34" s="4">
        <v>41530.467408912038</v>
      </c>
      <c r="G34">
        <v>30</v>
      </c>
      <c r="H34" t="s">
        <v>71</v>
      </c>
      <c r="I34" s="4"/>
      <c r="K34" s="4"/>
      <c r="L34" s="4"/>
      <c r="N34" s="4"/>
      <c r="O34">
        <v>10</v>
      </c>
      <c r="P34">
        <v>10</v>
      </c>
      <c r="Q34">
        <v>1</v>
      </c>
      <c r="R34">
        <v>10</v>
      </c>
      <c r="S34" s="4">
        <v>41530.467408912038</v>
      </c>
      <c r="T34" t="s">
        <v>77</v>
      </c>
      <c r="U34" t="s">
        <v>73</v>
      </c>
      <c r="V34">
        <v>2</v>
      </c>
    </row>
    <row r="35" spans="1:22" x14ac:dyDescent="0.25">
      <c r="A35">
        <v>39</v>
      </c>
      <c r="B35" t="s">
        <v>156</v>
      </c>
      <c r="C35" t="s">
        <v>72</v>
      </c>
      <c r="D35" t="s">
        <v>157</v>
      </c>
      <c r="E35" t="s">
        <v>72</v>
      </c>
      <c r="F35" s="4">
        <v>41530.468055173609</v>
      </c>
      <c r="G35">
        <v>30</v>
      </c>
      <c r="H35" t="s">
        <v>71</v>
      </c>
      <c r="I35" s="4"/>
      <c r="K35" s="4"/>
      <c r="L35" s="4"/>
      <c r="N35" s="4"/>
      <c r="O35">
        <v>10</v>
      </c>
      <c r="P35">
        <v>10</v>
      </c>
      <c r="Q35">
        <v>1</v>
      </c>
      <c r="R35">
        <v>10</v>
      </c>
      <c r="S35" s="4">
        <v>41530.468055173609</v>
      </c>
      <c r="T35" t="s">
        <v>77</v>
      </c>
      <c r="U35" t="s">
        <v>73</v>
      </c>
      <c r="V35">
        <v>2</v>
      </c>
    </row>
    <row r="36" spans="1:22" x14ac:dyDescent="0.25">
      <c r="A36">
        <v>40</v>
      </c>
      <c r="B36" t="s">
        <v>158</v>
      </c>
      <c r="C36" t="s">
        <v>72</v>
      </c>
      <c r="D36" t="s">
        <v>159</v>
      </c>
      <c r="E36" t="s">
        <v>72</v>
      </c>
      <c r="F36" s="4">
        <v>41530.468063738423</v>
      </c>
      <c r="G36">
        <v>30</v>
      </c>
      <c r="H36" t="s">
        <v>71</v>
      </c>
      <c r="I36" s="4"/>
      <c r="J36" t="s">
        <v>72</v>
      </c>
      <c r="K36" s="4"/>
      <c r="L36" s="4"/>
      <c r="N36" s="4"/>
      <c r="O36">
        <v>10</v>
      </c>
      <c r="Q36">
        <v>0</v>
      </c>
      <c r="R36">
        <v>0</v>
      </c>
      <c r="S36" s="4">
        <v>41530.468063738423</v>
      </c>
      <c r="T36" t="s">
        <v>6</v>
      </c>
      <c r="U36" t="s">
        <v>73</v>
      </c>
      <c r="V36">
        <v>2</v>
      </c>
    </row>
    <row r="37" spans="1:22" x14ac:dyDescent="0.25">
      <c r="A37">
        <v>41</v>
      </c>
      <c r="B37" t="s">
        <v>160</v>
      </c>
      <c r="C37" t="s">
        <v>72</v>
      </c>
      <c r="D37" t="s">
        <v>160</v>
      </c>
      <c r="E37" t="s">
        <v>161</v>
      </c>
      <c r="F37" s="4">
        <v>41536.654518402778</v>
      </c>
      <c r="G37">
        <v>30</v>
      </c>
      <c r="H37" t="s">
        <v>71</v>
      </c>
      <c r="I37" s="4"/>
      <c r="K37" s="4"/>
      <c r="L37" s="4"/>
      <c r="N37" s="4"/>
      <c r="O37">
        <v>10</v>
      </c>
      <c r="P37">
        <v>10</v>
      </c>
      <c r="Q37">
        <v>1</v>
      </c>
      <c r="R37">
        <v>10</v>
      </c>
      <c r="S37" s="4">
        <v>41536.654518402778</v>
      </c>
      <c r="T37" t="s">
        <v>77</v>
      </c>
      <c r="U37" t="s">
        <v>73</v>
      </c>
      <c r="V37">
        <v>2</v>
      </c>
    </row>
    <row r="38" spans="1:22" x14ac:dyDescent="0.25">
      <c r="A38">
        <v>43</v>
      </c>
      <c r="B38" t="s">
        <v>162</v>
      </c>
      <c r="C38" t="s">
        <v>163</v>
      </c>
      <c r="D38" t="s">
        <v>164</v>
      </c>
      <c r="E38" t="s">
        <v>165</v>
      </c>
      <c r="F38" s="4">
        <v>41540.449850543984</v>
      </c>
      <c r="G38">
        <v>30</v>
      </c>
      <c r="H38" t="s">
        <v>71</v>
      </c>
      <c r="I38" s="4"/>
      <c r="J38" t="s">
        <v>72</v>
      </c>
      <c r="K38" s="4"/>
      <c r="L38" s="4"/>
      <c r="N38" s="4"/>
      <c r="O38">
        <v>10</v>
      </c>
      <c r="Q38">
        <v>0</v>
      </c>
      <c r="R38">
        <v>0</v>
      </c>
      <c r="S38" s="4">
        <v>41540.449850543984</v>
      </c>
      <c r="T38" t="s">
        <v>6</v>
      </c>
      <c r="U38" t="s">
        <v>73</v>
      </c>
      <c r="V38">
        <v>1</v>
      </c>
    </row>
    <row r="39" spans="1:22" x14ac:dyDescent="0.25">
      <c r="A39">
        <v>44</v>
      </c>
      <c r="B39" t="s">
        <v>162</v>
      </c>
      <c r="C39" t="s">
        <v>166</v>
      </c>
      <c r="D39" t="s">
        <v>162</v>
      </c>
      <c r="E39" t="s">
        <v>167</v>
      </c>
      <c r="F39" s="4">
        <v>41540.451344131943</v>
      </c>
      <c r="G39">
        <v>30</v>
      </c>
      <c r="H39" t="s">
        <v>71</v>
      </c>
      <c r="I39" s="4"/>
      <c r="K39" s="4"/>
      <c r="L39" s="4"/>
      <c r="N39" s="4"/>
      <c r="O39">
        <v>10</v>
      </c>
      <c r="P39">
        <v>0</v>
      </c>
      <c r="Q39">
        <v>0</v>
      </c>
      <c r="R39">
        <v>0</v>
      </c>
      <c r="S39" s="4">
        <v>41540.451344131943</v>
      </c>
      <c r="T39" t="s">
        <v>6</v>
      </c>
      <c r="U39" t="s">
        <v>122</v>
      </c>
      <c r="V39">
        <v>1</v>
      </c>
    </row>
    <row r="40" spans="1:22" x14ac:dyDescent="0.25">
      <c r="A40">
        <v>45</v>
      </c>
      <c r="B40" t="s">
        <v>168</v>
      </c>
      <c r="C40" t="s">
        <v>169</v>
      </c>
      <c r="D40" t="s">
        <v>170</v>
      </c>
      <c r="E40" t="s">
        <v>171</v>
      </c>
      <c r="F40" s="4">
        <v>41540.455358449071</v>
      </c>
      <c r="G40">
        <v>30</v>
      </c>
      <c r="H40" t="s">
        <v>71</v>
      </c>
      <c r="I40" s="4"/>
      <c r="K40" s="4"/>
      <c r="L40" s="4"/>
      <c r="N40" s="4"/>
      <c r="O40">
        <v>10</v>
      </c>
      <c r="P40">
        <v>0</v>
      </c>
      <c r="Q40">
        <v>0</v>
      </c>
      <c r="R40">
        <v>0</v>
      </c>
      <c r="S40" s="4">
        <v>41540.455358449071</v>
      </c>
      <c r="T40" t="s">
        <v>6</v>
      </c>
      <c r="U40" t="s">
        <v>73</v>
      </c>
      <c r="V40">
        <v>1</v>
      </c>
    </row>
    <row r="41" spans="1:22" x14ac:dyDescent="0.25">
      <c r="A41">
        <v>46</v>
      </c>
      <c r="B41" t="s">
        <v>172</v>
      </c>
      <c r="C41" t="s">
        <v>173</v>
      </c>
      <c r="D41" t="s">
        <v>174</v>
      </c>
      <c r="E41" t="s">
        <v>175</v>
      </c>
      <c r="F41" s="4">
        <v>41540.457380173611</v>
      </c>
      <c r="G41">
        <v>30</v>
      </c>
      <c r="H41" t="s">
        <v>71</v>
      </c>
      <c r="I41" s="4"/>
      <c r="K41" s="4"/>
      <c r="L41" s="4"/>
      <c r="N41" s="4"/>
      <c r="O41">
        <v>10</v>
      </c>
      <c r="P41">
        <v>0</v>
      </c>
      <c r="Q41">
        <v>0</v>
      </c>
      <c r="R41">
        <v>0</v>
      </c>
      <c r="S41" s="4">
        <v>41540.457380173611</v>
      </c>
      <c r="T41" t="s">
        <v>6</v>
      </c>
      <c r="U41" t="s">
        <v>73</v>
      </c>
      <c r="V41">
        <v>1</v>
      </c>
    </row>
    <row r="42" spans="1:22" x14ac:dyDescent="0.25">
      <c r="A42">
        <v>47</v>
      </c>
      <c r="B42" t="s">
        <v>176</v>
      </c>
      <c r="C42" t="s">
        <v>177</v>
      </c>
      <c r="D42" t="s">
        <v>178</v>
      </c>
      <c r="E42" t="s">
        <v>179</v>
      </c>
      <c r="F42" s="4">
        <v>41541.586158182872</v>
      </c>
      <c r="G42">
        <v>30</v>
      </c>
      <c r="H42" t="s">
        <v>71</v>
      </c>
      <c r="I42" s="4"/>
      <c r="K42" s="4">
        <v>41541.586516782409</v>
      </c>
      <c r="L42" s="4">
        <v>41541.58657994213</v>
      </c>
      <c r="N42" s="4"/>
      <c r="O42">
        <v>10</v>
      </c>
      <c r="P42">
        <v>10</v>
      </c>
      <c r="Q42">
        <v>1</v>
      </c>
      <c r="R42">
        <v>10</v>
      </c>
      <c r="S42" s="4">
        <v>41541.57332491898</v>
      </c>
      <c r="T42" t="s">
        <v>6</v>
      </c>
      <c r="U42" t="s">
        <v>73</v>
      </c>
      <c r="V42">
        <v>1</v>
      </c>
    </row>
    <row r="43" spans="1:22" x14ac:dyDescent="0.25">
      <c r="A43">
        <v>48</v>
      </c>
      <c r="B43" t="s">
        <v>180</v>
      </c>
      <c r="C43" t="s">
        <v>181</v>
      </c>
      <c r="D43" t="s">
        <v>182</v>
      </c>
      <c r="E43" t="s">
        <v>183</v>
      </c>
      <c r="F43" s="4">
        <v>41541.595982604165</v>
      </c>
      <c r="G43">
        <v>30</v>
      </c>
      <c r="H43" t="s">
        <v>71</v>
      </c>
      <c r="I43" s="4"/>
      <c r="K43" s="4"/>
      <c r="L43" s="4"/>
      <c r="N43" s="4"/>
      <c r="O43">
        <v>10</v>
      </c>
      <c r="P43">
        <v>10</v>
      </c>
      <c r="Q43">
        <v>1</v>
      </c>
      <c r="R43">
        <v>10</v>
      </c>
      <c r="S43" s="4">
        <v>41541.589892164353</v>
      </c>
      <c r="T43" t="s">
        <v>6</v>
      </c>
      <c r="U43" t="s">
        <v>73</v>
      </c>
      <c r="V43">
        <v>1</v>
      </c>
    </row>
    <row r="44" spans="1:22" x14ac:dyDescent="0.25">
      <c r="A44">
        <v>49</v>
      </c>
      <c r="B44" t="s">
        <v>184</v>
      </c>
      <c r="C44" t="s">
        <v>72</v>
      </c>
      <c r="D44" t="s">
        <v>185</v>
      </c>
      <c r="E44" t="s">
        <v>186</v>
      </c>
      <c r="F44" s="4">
        <v>41598.827314930553</v>
      </c>
      <c r="G44">
        <v>30</v>
      </c>
      <c r="H44" t="s">
        <v>71</v>
      </c>
      <c r="I44" s="4"/>
      <c r="K44" s="4">
        <v>41598.848189502314</v>
      </c>
      <c r="L44" s="4"/>
      <c r="N44" s="4"/>
      <c r="O44">
        <v>10</v>
      </c>
      <c r="P44">
        <v>10</v>
      </c>
      <c r="Q44">
        <v>1</v>
      </c>
      <c r="R44">
        <v>10</v>
      </c>
      <c r="S44" s="4">
        <v>41598.827314930553</v>
      </c>
      <c r="T44" t="s">
        <v>77</v>
      </c>
      <c r="U44" t="s">
        <v>73</v>
      </c>
      <c r="V44">
        <v>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6:J23"/>
  <sheetViews>
    <sheetView workbookViewId="0">
      <selection activeCell="B18" sqref="B18"/>
    </sheetView>
  </sheetViews>
  <sheetFormatPr defaultRowHeight="15" x14ac:dyDescent="0.25"/>
  <cols>
    <col min="1" max="1" width="45" bestFit="1" customWidth="1"/>
    <col min="2" max="2" width="56.7109375" bestFit="1" customWidth="1"/>
    <col min="3" max="3" width="11" bestFit="1" customWidth="1"/>
    <col min="4" max="4" width="15.85546875" bestFit="1" customWidth="1"/>
    <col min="5" max="5" width="10.7109375" bestFit="1" customWidth="1"/>
    <col min="6" max="6" width="17.42578125" bestFit="1" customWidth="1"/>
    <col min="7" max="7" width="8.140625" bestFit="1" customWidth="1"/>
    <col min="8" max="8" width="16.5703125" bestFit="1" customWidth="1"/>
    <col min="9" max="9" width="7" bestFit="1" customWidth="1"/>
    <col min="10" max="10" width="5.140625" bestFit="1" customWidth="1"/>
  </cols>
  <sheetData>
    <row r="6" spans="1:10" x14ac:dyDescent="0.25">
      <c r="A6" t="s">
        <v>187</v>
      </c>
      <c r="B6" t="s">
        <v>188</v>
      </c>
      <c r="C6" t="s">
        <v>189</v>
      </c>
      <c r="D6" t="s">
        <v>190</v>
      </c>
      <c r="E6" t="s">
        <v>191</v>
      </c>
      <c r="F6" t="s">
        <v>192</v>
      </c>
      <c r="G6" t="s">
        <v>193</v>
      </c>
      <c r="H6" t="s">
        <v>194</v>
      </c>
      <c r="I6" t="s">
        <v>195</v>
      </c>
      <c r="J6" t="s">
        <v>196</v>
      </c>
    </row>
    <row r="11" spans="1:10" x14ac:dyDescent="0.25">
      <c r="A11" t="s">
        <v>197</v>
      </c>
    </row>
    <row r="23" spans="2:2" x14ac:dyDescent="0.25">
      <c r="B23" t="s">
        <v>198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13"/>
  <sheetViews>
    <sheetView workbookViewId="0">
      <selection activeCell="B11" sqref="B11"/>
    </sheetView>
  </sheetViews>
  <sheetFormatPr defaultRowHeight="15" x14ac:dyDescent="0.25"/>
  <cols>
    <col min="1" max="1" width="52.42578125" bestFit="1" customWidth="1"/>
    <col min="2" max="2" width="54.5703125" bestFit="1" customWidth="1"/>
  </cols>
  <sheetData>
    <row r="1" spans="1:2" x14ac:dyDescent="0.25">
      <c r="B1" t="s">
        <v>199</v>
      </c>
    </row>
    <row r="3" spans="1:2" x14ac:dyDescent="0.25">
      <c r="A3" t="s">
        <v>200</v>
      </c>
    </row>
    <row r="4" spans="1:2" x14ac:dyDescent="0.25">
      <c r="B4" t="s">
        <v>201</v>
      </c>
    </row>
    <row r="5" spans="1:2" x14ac:dyDescent="0.25">
      <c r="B5" t="s">
        <v>202</v>
      </c>
    </row>
    <row r="9" spans="1:2" x14ac:dyDescent="0.25">
      <c r="A9" t="s">
        <v>203</v>
      </c>
    </row>
    <row r="11" spans="1:2" x14ac:dyDescent="0.25">
      <c r="A11" t="s">
        <v>204</v>
      </c>
      <c r="B11" t="s">
        <v>297</v>
      </c>
    </row>
    <row r="12" spans="1:2" x14ac:dyDescent="0.25">
      <c r="A12" t="s">
        <v>205</v>
      </c>
    </row>
    <row r="13" spans="1:2" x14ac:dyDescent="0.25">
      <c r="A13" t="s">
        <v>206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O63"/>
  <sheetViews>
    <sheetView topLeftCell="H1" workbookViewId="0">
      <selection activeCell="L5" sqref="L5"/>
    </sheetView>
  </sheetViews>
  <sheetFormatPr defaultRowHeight="15" x14ac:dyDescent="0.25"/>
  <cols>
    <col min="1" max="1" width="37.5703125" bestFit="1" customWidth="1"/>
    <col min="2" max="2" width="9.7109375" bestFit="1" customWidth="1"/>
    <col min="5" max="5" width="9.7109375" bestFit="1" customWidth="1"/>
    <col min="12" max="12" width="48.140625" bestFit="1" customWidth="1"/>
  </cols>
  <sheetData>
    <row r="1" spans="1:15" x14ac:dyDescent="0.25">
      <c r="A1">
        <v>1</v>
      </c>
      <c r="B1">
        <v>1</v>
      </c>
      <c r="C1">
        <v>1</v>
      </c>
      <c r="D1">
        <v>4</v>
      </c>
      <c r="E1">
        <v>1</v>
      </c>
      <c r="M1" s="28"/>
      <c r="N1" s="29"/>
      <c r="O1" s="30"/>
    </row>
    <row r="2" spans="1:15" x14ac:dyDescent="0.25">
      <c r="A2">
        <v>2</v>
      </c>
      <c r="B2">
        <v>2</v>
      </c>
      <c r="C2">
        <v>4</v>
      </c>
      <c r="D2">
        <v>2</v>
      </c>
      <c r="E2" t="s">
        <v>7</v>
      </c>
      <c r="M2" s="28"/>
      <c r="N2" s="29"/>
      <c r="O2" s="30"/>
    </row>
    <row r="3" spans="1:15" x14ac:dyDescent="0.25">
      <c r="A3">
        <f>SUM(A1:A2)</f>
        <v>3</v>
      </c>
      <c r="B3">
        <f>AVERAGE(B1:B2)</f>
        <v>1.5</v>
      </c>
      <c r="C3">
        <f>SUM(C1:C2)</f>
        <v>5</v>
      </c>
      <c r="D3">
        <f>AVERAGE(D1:D2)</f>
        <v>3</v>
      </c>
      <c r="E3">
        <f>SUM(E1:E2)</f>
        <v>1</v>
      </c>
      <c r="F3" t="s">
        <v>216</v>
      </c>
      <c r="M3" s="28"/>
      <c r="N3" s="29"/>
      <c r="O3" s="30"/>
    </row>
    <row r="4" spans="1:15" x14ac:dyDescent="0.25">
      <c r="M4" s="28"/>
      <c r="N4" s="29"/>
      <c r="O4" s="30"/>
    </row>
    <row r="5" spans="1:15" x14ac:dyDescent="0.25">
      <c r="M5" s="28"/>
      <c r="N5" s="29"/>
      <c r="O5" s="30" t="s">
        <v>72</v>
      </c>
    </row>
    <row r="6" spans="1:15" x14ac:dyDescent="0.25">
      <c r="M6" s="28"/>
      <c r="N6" s="29"/>
      <c r="O6" s="30"/>
    </row>
    <row r="7" spans="1:15" x14ac:dyDescent="0.25">
      <c r="M7" s="28"/>
      <c r="N7" s="29"/>
      <c r="O7" s="30"/>
    </row>
    <row r="8" spans="1:15" x14ac:dyDescent="0.25">
      <c r="A8" t="s">
        <v>212</v>
      </c>
      <c r="C8">
        <f t="array" ref="C8">SUM(A3:D3)</f>
        <v>12.5</v>
      </c>
      <c r="M8" s="28"/>
      <c r="N8" s="29"/>
      <c r="O8" s="30"/>
    </row>
    <row r="9" spans="1:15" x14ac:dyDescent="0.25">
      <c r="M9" s="28"/>
      <c r="N9" s="29"/>
      <c r="O9" s="30"/>
    </row>
    <row r="10" spans="1:15" x14ac:dyDescent="0.25">
      <c r="A10" t="s">
        <v>213</v>
      </c>
      <c r="D10" s="5">
        <f>SUM(A2:D2)</f>
        <v>10</v>
      </c>
      <c r="M10" s="28"/>
      <c r="N10" s="29"/>
      <c r="O10" s="30"/>
    </row>
    <row r="11" spans="1:15" x14ac:dyDescent="0.25">
      <c r="M11" s="28"/>
      <c r="N11" s="29"/>
      <c r="O11" s="30" t="s">
        <v>72</v>
      </c>
    </row>
    <row r="12" spans="1:15" x14ac:dyDescent="0.25">
      <c r="A12" t="s">
        <v>214</v>
      </c>
      <c r="D12" s="5">
        <f>SUM(D10,C8)+1000</f>
        <v>1022.5</v>
      </c>
      <c r="M12" s="28"/>
      <c r="N12" s="29"/>
      <c r="O12" s="30"/>
    </row>
    <row r="13" spans="1:15" x14ac:dyDescent="0.25">
      <c r="M13" s="28"/>
      <c r="N13" s="29"/>
      <c r="O13" s="30" t="s">
        <v>72</v>
      </c>
    </row>
    <row r="14" spans="1:15" x14ac:dyDescent="0.25">
      <c r="A14" t="s">
        <v>215</v>
      </c>
      <c r="D14" s="5">
        <f>D12+D10+D8</f>
        <v>1032.5</v>
      </c>
      <c r="M14" s="28"/>
      <c r="N14" s="29"/>
      <c r="O14" s="30" t="s">
        <v>72</v>
      </c>
    </row>
    <row r="15" spans="1:15" x14ac:dyDescent="0.25">
      <c r="M15" s="28"/>
      <c r="N15" s="29"/>
      <c r="O15" s="30" t="s">
        <v>72</v>
      </c>
    </row>
    <row r="16" spans="1:15" x14ac:dyDescent="0.25">
      <c r="M16" s="28"/>
      <c r="N16" s="29"/>
      <c r="O16" s="30"/>
    </row>
    <row r="17" spans="1:15" x14ac:dyDescent="0.25">
      <c r="A17" t="s">
        <v>217</v>
      </c>
      <c r="D17">
        <f>SUM(D18:D24)</f>
        <v>35</v>
      </c>
      <c r="M17" s="28"/>
      <c r="N17" s="29"/>
      <c r="O17" s="30" t="s">
        <v>72</v>
      </c>
    </row>
    <row r="18" spans="1:15" x14ac:dyDescent="0.25">
      <c r="D18">
        <v>1</v>
      </c>
      <c r="O18" s="30"/>
    </row>
    <row r="19" spans="1:15" x14ac:dyDescent="0.25">
      <c r="D19">
        <v>2</v>
      </c>
      <c r="O19" s="30"/>
    </row>
    <row r="20" spans="1:15" x14ac:dyDescent="0.25">
      <c r="D20">
        <v>3</v>
      </c>
      <c r="O20" s="30"/>
    </row>
    <row r="21" spans="1:15" hidden="1" x14ac:dyDescent="0.25">
      <c r="A21" t="s">
        <v>218</v>
      </c>
      <c r="D21">
        <f>'Hidden Row'!A15</f>
        <v>11</v>
      </c>
      <c r="I21">
        <v>1</v>
      </c>
      <c r="O21" s="30"/>
    </row>
    <row r="22" spans="1:15" x14ac:dyDescent="0.25">
      <c r="D22">
        <v>5</v>
      </c>
      <c r="I22">
        <v>2</v>
      </c>
      <c r="O22" s="30"/>
    </row>
    <row r="23" spans="1:15" x14ac:dyDescent="0.25">
      <c r="D23">
        <v>6</v>
      </c>
      <c r="I23">
        <f>SUM(I21:I22)</f>
        <v>3</v>
      </c>
      <c r="O23" s="30"/>
    </row>
    <row r="24" spans="1:15" x14ac:dyDescent="0.25">
      <c r="D24">
        <v>7</v>
      </c>
      <c r="G24">
        <v>1</v>
      </c>
      <c r="I24">
        <f>SUM(D24:H24)</f>
        <v>8</v>
      </c>
      <c r="O24" s="30" t="s">
        <v>72</v>
      </c>
    </row>
    <row r="25" spans="1:15" x14ac:dyDescent="0.25">
      <c r="G25">
        <v>2</v>
      </c>
      <c r="O25" s="30" t="s">
        <v>72</v>
      </c>
    </row>
    <row r="26" spans="1:15" x14ac:dyDescent="0.25">
      <c r="G26">
        <f>SUM(G24:G25)</f>
        <v>3</v>
      </c>
      <c r="O26" s="30" t="s">
        <v>72</v>
      </c>
    </row>
    <row r="27" spans="1:15" x14ac:dyDescent="0.25">
      <c r="O27" s="30" t="s">
        <v>72</v>
      </c>
    </row>
    <row r="28" spans="1:15" x14ac:dyDescent="0.25">
      <c r="O28" s="30" t="s">
        <v>72</v>
      </c>
    </row>
    <row r="29" spans="1:15" x14ac:dyDescent="0.25">
      <c r="O29" s="30" t="s">
        <v>72</v>
      </c>
    </row>
    <row r="30" spans="1:15" x14ac:dyDescent="0.25">
      <c r="A30" t="s">
        <v>237</v>
      </c>
      <c r="B30" s="26">
        <v>1</v>
      </c>
      <c r="C30" s="26">
        <v>1</v>
      </c>
      <c r="D30" s="27">
        <v>1</v>
      </c>
      <c r="E30" s="26">
        <f>SUM(B30:D30)</f>
        <v>3</v>
      </c>
      <c r="M30" s="28"/>
      <c r="N30" s="29"/>
      <c r="O30" s="30"/>
    </row>
    <row r="31" spans="1:15" x14ac:dyDescent="0.25">
      <c r="O31" s="30" t="s">
        <v>72</v>
      </c>
    </row>
    <row r="32" spans="1:15" x14ac:dyDescent="0.25">
      <c r="A32" t="s">
        <v>238</v>
      </c>
      <c r="B32">
        <v>15</v>
      </c>
      <c r="C32">
        <v>30</v>
      </c>
      <c r="D32">
        <v>15</v>
      </c>
      <c r="E32">
        <f>-SUM(B32:D32)</f>
        <v>-60</v>
      </c>
      <c r="M32" s="28"/>
      <c r="N32" s="29"/>
      <c r="O32" s="30"/>
    </row>
    <row r="33" spans="1:15" x14ac:dyDescent="0.25">
      <c r="A33" t="s">
        <v>239</v>
      </c>
      <c r="B33" s="41">
        <v>1</v>
      </c>
      <c r="C33" s="41"/>
      <c r="D33" s="41"/>
      <c r="E33" s="41"/>
      <c r="L33" s="31"/>
      <c r="M33" s="28"/>
      <c r="N33" s="29"/>
      <c r="O33" s="30"/>
    </row>
    <row r="34" spans="1:15" x14ac:dyDescent="0.25">
      <c r="A34" t="s">
        <v>240</v>
      </c>
    </row>
    <row r="35" spans="1:15" x14ac:dyDescent="0.25">
      <c r="A35" t="s">
        <v>241</v>
      </c>
      <c r="B35" t="str">
        <f>IF(B32&gt;15,IF(C32&gt;25,"Yes","No"),"T")</f>
        <v>T</v>
      </c>
      <c r="M35" s="28"/>
      <c r="N35" s="29"/>
      <c r="O35" s="30"/>
    </row>
    <row r="36" spans="1:15" x14ac:dyDescent="0.25">
      <c r="A36" t="s">
        <v>242</v>
      </c>
      <c r="B36">
        <v>1</v>
      </c>
      <c r="C36">
        <v>2</v>
      </c>
      <c r="D36">
        <v>3</v>
      </c>
      <c r="E36">
        <v>4</v>
      </c>
      <c r="G36">
        <f>SUM(C36:E36,,,,)</f>
        <v>9</v>
      </c>
    </row>
    <row r="37" spans="1:15" x14ac:dyDescent="0.25">
      <c r="A37" t="s">
        <v>243</v>
      </c>
      <c r="B37">
        <f>SUM(TestAudit)</f>
        <v>35</v>
      </c>
      <c r="L37" s="31"/>
      <c r="M37" s="28"/>
      <c r="N37" s="29"/>
      <c r="O37" s="30"/>
    </row>
    <row r="38" spans="1:15" x14ac:dyDescent="0.25">
      <c r="A38" t="s">
        <v>244</v>
      </c>
      <c r="B38" s="33">
        <v>1</v>
      </c>
      <c r="C38" s="33">
        <v>2</v>
      </c>
      <c r="D38" s="33">
        <v>3</v>
      </c>
      <c r="E38" s="33" t="s">
        <v>251</v>
      </c>
      <c r="F38" s="33">
        <v>6</v>
      </c>
      <c r="G38" s="33">
        <v>7</v>
      </c>
      <c r="L38" s="31"/>
      <c r="M38" s="28"/>
      <c r="N38" s="29"/>
      <c r="O38" s="30"/>
    </row>
    <row r="39" spans="1:15" x14ac:dyDescent="0.25">
      <c r="A39" t="s">
        <v>245</v>
      </c>
      <c r="B39">
        <v>1</v>
      </c>
      <c r="L39" s="32"/>
      <c r="M39" s="28"/>
      <c r="N39" s="29"/>
      <c r="O39" s="30"/>
    </row>
    <row r="40" spans="1:15" x14ac:dyDescent="0.25">
      <c r="B40">
        <v>2</v>
      </c>
      <c r="M40" s="28"/>
      <c r="N40" s="29"/>
      <c r="O40" s="30"/>
    </row>
    <row r="41" spans="1:15" x14ac:dyDescent="0.25">
      <c r="L41" s="31"/>
      <c r="M41" s="28"/>
      <c r="N41" s="29"/>
      <c r="O41" s="30"/>
    </row>
    <row r="42" spans="1:15" x14ac:dyDescent="0.25">
      <c r="B42">
        <v>3</v>
      </c>
      <c r="M42" s="28"/>
      <c r="N42" s="29"/>
      <c r="O42" s="30"/>
    </row>
    <row r="43" spans="1:15" x14ac:dyDescent="0.25">
      <c r="M43" s="28"/>
      <c r="N43" s="29"/>
      <c r="O43" s="30"/>
    </row>
    <row r="44" spans="1:15" x14ac:dyDescent="0.25">
      <c r="M44" s="28"/>
      <c r="N44" s="29"/>
      <c r="O44" s="30"/>
    </row>
    <row r="45" spans="1:15" x14ac:dyDescent="0.25">
      <c r="L45" s="32"/>
      <c r="M45" s="28"/>
      <c r="N45" s="29"/>
      <c r="O45" s="30"/>
    </row>
    <row r="46" spans="1:15" x14ac:dyDescent="0.25">
      <c r="A46" t="s">
        <v>246</v>
      </c>
      <c r="B46">
        <f ca="1">E46</f>
        <v>0</v>
      </c>
      <c r="C46">
        <f ca="1">B46</f>
        <v>1</v>
      </c>
      <c r="E46">
        <f ca="1">SUM(B46:C46)</f>
        <v>2</v>
      </c>
    </row>
    <row r="47" spans="1:15" x14ac:dyDescent="0.25">
      <c r="A47" t="s">
        <v>247</v>
      </c>
      <c r="B47" s="34">
        <f>10.5/9.5</f>
        <v>1.1052631578947369</v>
      </c>
    </row>
    <row r="48" spans="1:15" x14ac:dyDescent="0.25">
      <c r="A48" t="s">
        <v>248</v>
      </c>
      <c r="B48">
        <f>MOD(100,3)</f>
        <v>1</v>
      </c>
    </row>
    <row r="49" spans="1:5" x14ac:dyDescent="0.25">
      <c r="A49" t="s">
        <v>249</v>
      </c>
      <c r="B49">
        <v>7.5</v>
      </c>
    </row>
    <row r="50" spans="1:5" x14ac:dyDescent="0.25">
      <c r="B50">
        <v>4</v>
      </c>
    </row>
    <row r="51" spans="1:5" x14ac:dyDescent="0.25">
      <c r="B51">
        <v>3</v>
      </c>
    </row>
    <row r="52" spans="1:5" x14ac:dyDescent="0.25">
      <c r="B52">
        <v>2.5</v>
      </c>
    </row>
    <row r="53" spans="1:5" x14ac:dyDescent="0.25">
      <c r="B53">
        <v>4.5</v>
      </c>
    </row>
    <row r="54" spans="1:5" x14ac:dyDescent="0.25">
      <c r="B54">
        <v>6.2</v>
      </c>
    </row>
    <row r="56" spans="1:5" x14ac:dyDescent="0.25">
      <c r="A56" t="s">
        <v>250</v>
      </c>
      <c r="C56">
        <v>1</v>
      </c>
      <c r="D56">
        <v>4</v>
      </c>
      <c r="E56">
        <v>7</v>
      </c>
    </row>
    <row r="57" spans="1:5" x14ac:dyDescent="0.25">
      <c r="C57">
        <v>2</v>
      </c>
      <c r="D57">
        <v>5</v>
      </c>
      <c r="E57">
        <v>8</v>
      </c>
    </row>
    <row r="58" spans="1:5" x14ac:dyDescent="0.25">
      <c r="C58">
        <f>SUM(C56:C57)</f>
        <v>3</v>
      </c>
      <c r="D58">
        <v>6</v>
      </c>
      <c r="E58">
        <f>SUM(E56:E57)</f>
        <v>15</v>
      </c>
    </row>
    <row r="60" spans="1:5" x14ac:dyDescent="0.25">
      <c r="A60" t="s">
        <v>252</v>
      </c>
      <c r="B60" s="3">
        <f ca="1">E63</f>
        <v>42446.616278472226</v>
      </c>
    </row>
    <row r="63" spans="1:5" x14ac:dyDescent="0.25">
      <c r="E63" s="3">
        <f ca="1">NOW()</f>
        <v>42446.616278472226</v>
      </c>
    </row>
  </sheetData>
  <sheetProtection password="CF4C" sheet="1" objects="1" scenarios="1"/>
  <mergeCells count="1">
    <mergeCell ref="B33:E33"/>
  </mergeCells>
  <conditionalFormatting sqref="B49:B54">
    <cfRule type="cellIs" dxfId="1" priority="1" stopIfTrue="1" operator="lessThan">
      <formula>5</formula>
    </cfRule>
    <cfRule type="cellIs" dxfId="0" priority="2" stopIfTrue="1" operator="greaterThan">
      <formula>5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9"/>
  <sheetViews>
    <sheetView workbookViewId="0">
      <selection activeCell="J18" sqref="J18"/>
    </sheetView>
  </sheetViews>
  <sheetFormatPr defaultRowHeight="15" x14ac:dyDescent="0.25"/>
  <sheetData>
    <row r="1" spans="1:2" x14ac:dyDescent="0.25">
      <c r="A1">
        <v>1</v>
      </c>
    </row>
    <row r="2" spans="1:2" x14ac:dyDescent="0.25">
      <c r="A2" s="6">
        <v>2</v>
      </c>
      <c r="B2" t="s">
        <v>220</v>
      </c>
    </row>
    <row r="3" spans="1:2" x14ac:dyDescent="0.25">
      <c r="A3">
        <v>3</v>
      </c>
      <c r="B3" t="s">
        <v>219</v>
      </c>
    </row>
    <row r="5" spans="1:2" x14ac:dyDescent="0.25">
      <c r="A5" s="7">
        <v>9</v>
      </c>
      <c r="B5" t="s">
        <v>221</v>
      </c>
    </row>
    <row r="7" spans="1:2" x14ac:dyDescent="0.25">
      <c r="A7" s="7">
        <v>23</v>
      </c>
      <c r="B7" t="s">
        <v>221</v>
      </c>
    </row>
    <row r="9" spans="1:2" x14ac:dyDescent="0.25">
      <c r="A9" s="35">
        <v>25</v>
      </c>
      <c r="B9" t="s">
        <v>221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B2"/>
  <sheetViews>
    <sheetView workbookViewId="0">
      <selection activeCell="I5" sqref="I5"/>
    </sheetView>
  </sheetViews>
  <sheetFormatPr defaultRowHeight="15" x14ac:dyDescent="0.25"/>
  <sheetData>
    <row r="1" spans="1:2" x14ac:dyDescent="0.25">
      <c r="A1">
        <f>[2]Sheet1!$A$1</f>
        <v>1</v>
      </c>
      <c r="B1" t="s">
        <v>207</v>
      </c>
    </row>
    <row r="2" spans="1:2" x14ac:dyDescent="0.25">
      <c r="A2">
        <f>[3]Sheet1!$A$3</f>
        <v>3</v>
      </c>
      <c r="B2" t="s">
        <v>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C10"/>
  <sheetViews>
    <sheetView workbookViewId="0">
      <selection activeCell="G9" sqref="G8:G9"/>
    </sheetView>
  </sheetViews>
  <sheetFormatPr defaultRowHeight="15" x14ac:dyDescent="0.25"/>
  <cols>
    <col min="2" max="2" width="10.7109375" bestFit="1" customWidth="1"/>
  </cols>
  <sheetData>
    <row r="1" spans="1:3" x14ac:dyDescent="0.25">
      <c r="A1" t="s">
        <v>3</v>
      </c>
      <c r="B1" t="s">
        <v>209</v>
      </c>
    </row>
    <row r="2" spans="1:3" x14ac:dyDescent="0.25">
      <c r="A2">
        <v>1</v>
      </c>
      <c r="B2" t="s">
        <v>210</v>
      </c>
      <c r="C2" t="s">
        <v>255</v>
      </c>
    </row>
    <row r="3" spans="1:3" x14ac:dyDescent="0.25">
      <c r="A3">
        <v>2</v>
      </c>
      <c r="B3">
        <v>1</v>
      </c>
      <c r="C3" t="s">
        <v>256</v>
      </c>
    </row>
    <row r="4" spans="1:3" x14ac:dyDescent="0.25">
      <c r="A4">
        <v>3</v>
      </c>
      <c r="B4">
        <v>2</v>
      </c>
      <c r="C4" t="s">
        <v>257</v>
      </c>
    </row>
    <row r="5" spans="1:3" x14ac:dyDescent="0.25">
      <c r="A5">
        <v>4</v>
      </c>
      <c r="B5" t="s">
        <v>263</v>
      </c>
      <c r="C5" t="s">
        <v>258</v>
      </c>
    </row>
    <row r="6" spans="1:3" x14ac:dyDescent="0.25">
      <c r="A6">
        <v>5</v>
      </c>
      <c r="B6" t="s">
        <v>264</v>
      </c>
      <c r="C6" t="s">
        <v>259</v>
      </c>
    </row>
    <row r="7" spans="1:3" x14ac:dyDescent="0.25">
      <c r="A7">
        <v>6</v>
      </c>
      <c r="B7" s="3">
        <v>41983</v>
      </c>
      <c r="C7" t="s">
        <v>262</v>
      </c>
    </row>
    <row r="8" spans="1:3" x14ac:dyDescent="0.25">
      <c r="A8">
        <v>7</v>
      </c>
      <c r="B8">
        <v>3</v>
      </c>
      <c r="C8" t="s">
        <v>260</v>
      </c>
    </row>
    <row r="9" spans="1:3" x14ac:dyDescent="0.25">
      <c r="A9">
        <v>8</v>
      </c>
      <c r="B9" s="36">
        <v>0.10069444444444443</v>
      </c>
      <c r="C9" t="s">
        <v>261</v>
      </c>
    </row>
    <row r="10" spans="1:3" x14ac:dyDescent="0.25">
      <c r="A10">
        <v>9</v>
      </c>
    </row>
  </sheetData>
  <dataValidations count="8">
    <dataValidation type="list" allowBlank="1" showInputMessage="1" showErrorMessage="1" sqref="B2">
      <formula1>"Dotnet,VB,Java"</formula1>
    </dataValidation>
    <dataValidation type="decimal" errorStyle="information" allowBlank="1" showInputMessage="1" showErrorMessage="1" errorTitle="Info Title" error="Error Message_x000a_" promptTitle="Title" prompt="Inout Message" sqref="B3">
      <formula1>1</formula1>
      <formula2>100</formula2>
    </dataValidation>
    <dataValidation type="textLength" errorStyle="warning" allowBlank="1" showInputMessage="1" showErrorMessage="1" errorTitle="Text Length" error="Text Length" promptTitle="Text Length" prompt="Text Length" sqref="B5">
      <formula1>10</formula1>
      <formula2>15</formula2>
    </dataValidation>
    <dataValidation type="custom" errorStyle="warning" allowBlank="1" showInputMessage="1" showErrorMessage="1" errorTitle="Custom" error="Custom" promptTitle="Custom" prompt="Custom" sqref="B6">
      <formula1>SUM(G1:G4)</formula1>
    </dataValidation>
    <dataValidation type="date" operator="notEqual" sqref="B7">
      <formula1>41640</formula1>
    </dataValidation>
    <dataValidation type="whole" operator="notBetween" allowBlank="1" showInputMessage="1" showErrorMessage="1" errorTitle="whole number" error="whole number" promptTitle="whole number" prompt="whole number" sqref="B8">
      <formula1>1</formula1>
      <formula2>100</formula2>
    </dataValidation>
    <dataValidation type="time" errorStyle="warning" operator="greaterThanOrEqual" allowBlank="1" showInputMessage="1" showErrorMessage="1" errorTitle="Time" error="Time" promptTitle="Time" prompt="Time" sqref="B9">
      <formula1>0.0520833333333333</formula1>
    </dataValidation>
    <dataValidation type="list" errorStyle="warning" allowBlank="1" showInputMessage="1" showErrorMessage="1" errorTitle="list" error="luisrt" promptTitle="list" prompt="list" sqref="B10">
      <formula1>$H$2:$H$9</formula1>
    </dataValidation>
  </dataValidation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2:F9"/>
  <sheetViews>
    <sheetView workbookViewId="0">
      <selection activeCell="K18" sqref="K18"/>
    </sheetView>
  </sheetViews>
  <sheetFormatPr defaultRowHeight="15" x14ac:dyDescent="0.25"/>
  <cols>
    <col min="2" max="2" width="10.28515625" bestFit="1" customWidth="1"/>
  </cols>
  <sheetData>
    <row r="2" spans="2:6" x14ac:dyDescent="0.25">
      <c r="B2" t="e">
        <f>1/0</f>
        <v>#DIV/0!</v>
      </c>
    </row>
    <row r="3" spans="2:6" x14ac:dyDescent="0.25">
      <c r="B3" t="e">
        <f>[4]Sheetxyz!A1</f>
        <v>#REF!</v>
      </c>
      <c r="D3">
        <v>1</v>
      </c>
    </row>
    <row r="4" spans="2:6" x14ac:dyDescent="0.25">
      <c r="B4" t="e">
        <f>VLOOKUP(A4,A1:A10,3)</f>
        <v>#N/A</v>
      </c>
      <c r="D4" t="s">
        <v>211</v>
      </c>
    </row>
    <row r="5" spans="2:6" x14ac:dyDescent="0.25">
      <c r="B5" t="e">
        <f>D3/D4</f>
        <v>#VALUE!</v>
      </c>
    </row>
    <row r="6" spans="2:6" x14ac:dyDescent="0.25">
      <c r="B6" t="e">
        <f ca="1">squr(-1.3)</f>
        <v>#NAME?</v>
      </c>
    </row>
    <row r="7" spans="2:6" x14ac:dyDescent="0.25">
      <c r="B7" t="e">
        <f>IRR(-1,307)</f>
        <v>#NUM!</v>
      </c>
    </row>
    <row r="8" spans="2:6" x14ac:dyDescent="0.25">
      <c r="B8" t="e">
        <f>SUM(A1:B3 C1:D5)</f>
        <v>#NULL!</v>
      </c>
    </row>
    <row r="9" spans="2:6" x14ac:dyDescent="0.25">
      <c r="F9" t="s">
        <v>294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4:E21"/>
  <sheetViews>
    <sheetView workbookViewId="0">
      <selection activeCell="I14" sqref="I14"/>
    </sheetView>
  </sheetViews>
  <sheetFormatPr defaultRowHeight="15" x14ac:dyDescent="0.25"/>
  <cols>
    <col min="2" max="2" width="20.7109375" bestFit="1" customWidth="1"/>
    <col min="3" max="3" width="10.7109375" bestFit="1" customWidth="1"/>
  </cols>
  <sheetData>
    <row r="4" spans="1:3" x14ac:dyDescent="0.25">
      <c r="A4" t="s">
        <v>222</v>
      </c>
      <c r="B4" t="s">
        <v>230</v>
      </c>
      <c r="C4" t="s">
        <v>231</v>
      </c>
    </row>
    <row r="5" spans="1:3" x14ac:dyDescent="0.25">
      <c r="B5" t="s">
        <v>232</v>
      </c>
    </row>
    <row r="6" spans="1:3" x14ac:dyDescent="0.25">
      <c r="A6" t="s">
        <v>222</v>
      </c>
      <c r="B6" t="s">
        <v>236</v>
      </c>
      <c r="C6" t="s">
        <v>228</v>
      </c>
    </row>
    <row r="7" spans="1:3" x14ac:dyDescent="0.25">
      <c r="B7" t="s">
        <v>229</v>
      </c>
    </row>
    <row r="8" spans="1:3" x14ac:dyDescent="0.25">
      <c r="A8" t="s">
        <v>223</v>
      </c>
      <c r="B8" t="s">
        <v>226</v>
      </c>
      <c r="C8">
        <v>300</v>
      </c>
    </row>
    <row r="9" spans="1:3" x14ac:dyDescent="0.25">
      <c r="B9">
        <v>500</v>
      </c>
    </row>
    <row r="11" spans="1:3" x14ac:dyDescent="0.25">
      <c r="A11" t="s">
        <v>224</v>
      </c>
      <c r="B11" t="s">
        <v>233</v>
      </c>
      <c r="C11" s="3">
        <v>41604</v>
      </c>
    </row>
    <row r="12" spans="1:3" x14ac:dyDescent="0.25">
      <c r="B12" s="3">
        <v>32143</v>
      </c>
    </row>
    <row r="14" spans="1:3" x14ac:dyDescent="0.25">
      <c r="A14" t="s">
        <v>225</v>
      </c>
      <c r="B14" t="s">
        <v>227</v>
      </c>
      <c r="C14" t="s">
        <v>228</v>
      </c>
    </row>
    <row r="15" spans="1:3" x14ac:dyDescent="0.25">
      <c r="B15" t="s">
        <v>229</v>
      </c>
    </row>
    <row r="19" spans="5:5" x14ac:dyDescent="0.25">
      <c r="E19">
        <v>1</v>
      </c>
    </row>
    <row r="20" spans="5:5" x14ac:dyDescent="0.25">
      <c r="E20">
        <v>2</v>
      </c>
    </row>
    <row r="21" spans="5:5" x14ac:dyDescent="0.25">
      <c r="E21">
        <f>SUM(E19:E20)</f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W24"/>
  <sheetViews>
    <sheetView workbookViewId="0">
      <selection activeCell="K29" sqref="K29"/>
    </sheetView>
  </sheetViews>
  <sheetFormatPr defaultRowHeight="15" x14ac:dyDescent="0.25"/>
  <cols>
    <col min="1" max="1" width="19.140625" bestFit="1" customWidth="1"/>
    <col min="2" max="22" width="9.42578125" bestFit="1" customWidth="1"/>
    <col min="23" max="23" width="11.140625" bestFit="1" customWidth="1"/>
  </cols>
  <sheetData>
    <row r="1" spans="1:23" x14ac:dyDescent="0.25">
      <c r="A1" s="11" t="s">
        <v>235</v>
      </c>
      <c r="B1" s="11" t="s">
        <v>45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7"/>
    </row>
    <row r="2" spans="1:23" x14ac:dyDescent="0.25">
      <c r="A2" s="11" t="s">
        <v>46</v>
      </c>
      <c r="B2" s="8">
        <v>1</v>
      </c>
      <c r="C2" s="18">
        <v>2</v>
      </c>
      <c r="D2" s="18">
        <v>3</v>
      </c>
      <c r="E2" s="18">
        <v>4</v>
      </c>
      <c r="F2" s="18">
        <v>5</v>
      </c>
      <c r="G2" s="18">
        <v>6</v>
      </c>
      <c r="H2" s="18">
        <v>7</v>
      </c>
      <c r="I2" s="18">
        <v>8</v>
      </c>
      <c r="J2" s="18">
        <v>9</v>
      </c>
      <c r="K2" s="18">
        <v>10</v>
      </c>
      <c r="L2" s="18">
        <v>11</v>
      </c>
      <c r="M2" s="18">
        <v>12</v>
      </c>
      <c r="N2" s="18">
        <v>13</v>
      </c>
      <c r="O2" s="18">
        <v>14</v>
      </c>
      <c r="P2" s="18">
        <v>15</v>
      </c>
      <c r="Q2" s="18">
        <v>16</v>
      </c>
      <c r="R2" s="18">
        <v>17</v>
      </c>
      <c r="S2" s="18">
        <v>18</v>
      </c>
      <c r="T2" s="18">
        <v>19</v>
      </c>
      <c r="U2" s="18">
        <v>20</v>
      </c>
      <c r="V2" s="18">
        <v>21</v>
      </c>
      <c r="W2" s="9" t="s">
        <v>234</v>
      </c>
    </row>
    <row r="3" spans="1:23" x14ac:dyDescent="0.25">
      <c r="A3" s="8" t="s">
        <v>67</v>
      </c>
      <c r="B3" s="19">
        <v>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13">
        <v>1</v>
      </c>
    </row>
    <row r="4" spans="1:23" x14ac:dyDescent="0.25">
      <c r="A4" s="14" t="s">
        <v>106</v>
      </c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>
        <v>1</v>
      </c>
      <c r="O4" s="22"/>
      <c r="P4" s="22"/>
      <c r="Q4" s="22"/>
      <c r="R4" s="22"/>
      <c r="S4" s="22"/>
      <c r="T4" s="22"/>
      <c r="U4" s="22"/>
      <c r="V4" s="22"/>
      <c r="W4" s="15">
        <v>1</v>
      </c>
    </row>
    <row r="5" spans="1:23" x14ac:dyDescent="0.25">
      <c r="A5" s="14" t="s">
        <v>109</v>
      </c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>
        <v>1</v>
      </c>
      <c r="P5" s="22"/>
      <c r="Q5" s="22"/>
      <c r="R5" s="22"/>
      <c r="S5" s="22"/>
      <c r="T5" s="22"/>
      <c r="U5" s="22"/>
      <c r="V5" s="22"/>
      <c r="W5" s="15">
        <v>1</v>
      </c>
    </row>
    <row r="6" spans="1:23" x14ac:dyDescent="0.25">
      <c r="A6" s="14" t="s">
        <v>84</v>
      </c>
      <c r="B6" s="21"/>
      <c r="C6" s="22"/>
      <c r="D6" s="22"/>
      <c r="E6" s="22"/>
      <c r="F6" s="22">
        <v>1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15">
        <v>1</v>
      </c>
    </row>
    <row r="7" spans="1:23" x14ac:dyDescent="0.25">
      <c r="A7" s="14" t="s">
        <v>111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>
        <v>1</v>
      </c>
      <c r="Q7" s="22"/>
      <c r="R7" s="22"/>
      <c r="S7" s="22"/>
      <c r="T7" s="22"/>
      <c r="U7" s="22"/>
      <c r="V7" s="22"/>
      <c r="W7" s="15">
        <v>1</v>
      </c>
    </row>
    <row r="8" spans="1:23" x14ac:dyDescent="0.25">
      <c r="A8" s="14" t="s">
        <v>78</v>
      </c>
      <c r="B8" s="21"/>
      <c r="C8" s="22"/>
      <c r="D8" s="22">
        <v>1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15">
        <v>1</v>
      </c>
    </row>
    <row r="9" spans="1:23" x14ac:dyDescent="0.25">
      <c r="A9" s="14" t="s">
        <v>114</v>
      </c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>
        <v>1</v>
      </c>
      <c r="R9" s="22"/>
      <c r="S9" s="22"/>
      <c r="T9" s="22"/>
      <c r="U9" s="22"/>
      <c r="V9" s="22"/>
      <c r="W9" s="15">
        <v>1</v>
      </c>
    </row>
    <row r="10" spans="1:23" x14ac:dyDescent="0.25">
      <c r="A10" s="14" t="s">
        <v>96</v>
      </c>
      <c r="B10" s="21"/>
      <c r="C10" s="22"/>
      <c r="D10" s="22"/>
      <c r="E10" s="22"/>
      <c r="F10" s="22"/>
      <c r="G10" s="22"/>
      <c r="H10" s="22"/>
      <c r="I10" s="22"/>
      <c r="J10" s="22">
        <v>1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15">
        <v>1</v>
      </c>
    </row>
    <row r="11" spans="1:23" x14ac:dyDescent="0.25">
      <c r="A11" s="14" t="s">
        <v>87</v>
      </c>
      <c r="B11" s="21"/>
      <c r="C11" s="22"/>
      <c r="D11" s="22"/>
      <c r="E11" s="22"/>
      <c r="F11" s="22"/>
      <c r="G11" s="22">
        <v>1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15">
        <v>1</v>
      </c>
    </row>
    <row r="12" spans="1:23" x14ac:dyDescent="0.25">
      <c r="A12" s="14" t="s">
        <v>93</v>
      </c>
      <c r="B12" s="21"/>
      <c r="C12" s="22"/>
      <c r="D12" s="22"/>
      <c r="E12" s="22"/>
      <c r="F12" s="22"/>
      <c r="G12" s="22"/>
      <c r="H12" s="22"/>
      <c r="I12" s="22">
        <v>1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15">
        <v>1</v>
      </c>
    </row>
    <row r="13" spans="1:23" x14ac:dyDescent="0.25">
      <c r="A13" s="14" t="s">
        <v>128</v>
      </c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>
        <v>1</v>
      </c>
      <c r="W13" s="15">
        <v>1</v>
      </c>
    </row>
    <row r="14" spans="1:23" x14ac:dyDescent="0.25">
      <c r="A14" s="14" t="s">
        <v>100</v>
      </c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>
        <v>1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15">
        <v>1</v>
      </c>
    </row>
    <row r="15" spans="1:23" x14ac:dyDescent="0.25">
      <c r="A15" s="14" t="s">
        <v>116</v>
      </c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>
        <v>1</v>
      </c>
      <c r="S15" s="22"/>
      <c r="T15" s="22"/>
      <c r="U15" s="22"/>
      <c r="V15" s="22"/>
      <c r="W15" s="15">
        <v>1</v>
      </c>
    </row>
    <row r="16" spans="1:23" x14ac:dyDescent="0.25">
      <c r="A16" s="14" t="s">
        <v>81</v>
      </c>
      <c r="B16" s="21"/>
      <c r="C16" s="22"/>
      <c r="D16" s="22"/>
      <c r="E16" s="22">
        <v>1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15">
        <v>1</v>
      </c>
    </row>
    <row r="17" spans="1:23" x14ac:dyDescent="0.25">
      <c r="A17" s="14" t="s">
        <v>90</v>
      </c>
      <c r="B17" s="21"/>
      <c r="C17" s="22"/>
      <c r="D17" s="22"/>
      <c r="E17" s="22"/>
      <c r="F17" s="22"/>
      <c r="G17" s="22"/>
      <c r="H17" s="22">
        <v>1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15">
        <v>1</v>
      </c>
    </row>
    <row r="18" spans="1:23" x14ac:dyDescent="0.25">
      <c r="A18" s="14" t="s">
        <v>74</v>
      </c>
      <c r="B18" s="21"/>
      <c r="C18" s="22">
        <v>1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15">
        <v>1</v>
      </c>
    </row>
    <row r="19" spans="1:23" x14ac:dyDescent="0.25">
      <c r="A19" s="14" t="s">
        <v>103</v>
      </c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>
        <v>1</v>
      </c>
      <c r="N19" s="22"/>
      <c r="O19" s="22"/>
      <c r="P19" s="22"/>
      <c r="Q19" s="22"/>
      <c r="R19" s="22"/>
      <c r="S19" s="22"/>
      <c r="T19" s="22"/>
      <c r="U19" s="22"/>
      <c r="V19" s="22"/>
      <c r="W19" s="15">
        <v>1</v>
      </c>
    </row>
    <row r="20" spans="1:23" x14ac:dyDescent="0.25">
      <c r="A20" s="14" t="s">
        <v>119</v>
      </c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>
        <v>1</v>
      </c>
      <c r="T20" s="22"/>
      <c r="U20" s="22"/>
      <c r="V20" s="22"/>
      <c r="W20" s="15">
        <v>1</v>
      </c>
    </row>
    <row r="21" spans="1:23" x14ac:dyDescent="0.25">
      <c r="A21" s="14" t="s">
        <v>123</v>
      </c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>
        <v>1</v>
      </c>
      <c r="U21" s="22"/>
      <c r="V21" s="22"/>
      <c r="W21" s="15">
        <v>1</v>
      </c>
    </row>
    <row r="22" spans="1:23" x14ac:dyDescent="0.25">
      <c r="A22" s="14" t="s">
        <v>99</v>
      </c>
      <c r="B22" s="21"/>
      <c r="C22" s="22"/>
      <c r="D22" s="22"/>
      <c r="E22" s="22"/>
      <c r="F22" s="22"/>
      <c r="G22" s="22"/>
      <c r="H22" s="22"/>
      <c r="I22" s="22"/>
      <c r="J22" s="22"/>
      <c r="K22" s="22">
        <v>1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15">
        <v>1</v>
      </c>
    </row>
    <row r="23" spans="1:23" x14ac:dyDescent="0.25">
      <c r="A23" s="14" t="s">
        <v>125</v>
      </c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>
        <v>1</v>
      </c>
      <c r="V23" s="22"/>
      <c r="W23" s="15">
        <v>1</v>
      </c>
    </row>
    <row r="24" spans="1:23" x14ac:dyDescent="0.25">
      <c r="A24" s="10" t="s">
        <v>234</v>
      </c>
      <c r="B24" s="23">
        <v>1</v>
      </c>
      <c r="C24" s="24">
        <v>1</v>
      </c>
      <c r="D24" s="24">
        <v>1</v>
      </c>
      <c r="E24" s="24">
        <v>1</v>
      </c>
      <c r="F24" s="24">
        <v>1</v>
      </c>
      <c r="G24" s="24">
        <v>1</v>
      </c>
      <c r="H24" s="24">
        <v>1</v>
      </c>
      <c r="I24" s="24">
        <v>1</v>
      </c>
      <c r="J24" s="24">
        <v>1</v>
      </c>
      <c r="K24" s="24">
        <v>1</v>
      </c>
      <c r="L24" s="24">
        <v>1</v>
      </c>
      <c r="M24" s="24">
        <v>1</v>
      </c>
      <c r="N24" s="24">
        <v>1</v>
      </c>
      <c r="O24" s="24">
        <v>1</v>
      </c>
      <c r="P24" s="24">
        <v>1</v>
      </c>
      <c r="Q24" s="24">
        <v>1</v>
      </c>
      <c r="R24" s="24">
        <v>1</v>
      </c>
      <c r="S24" s="24">
        <v>1</v>
      </c>
      <c r="T24" s="24">
        <v>1</v>
      </c>
      <c r="U24" s="24">
        <v>1</v>
      </c>
      <c r="V24" s="24">
        <v>1</v>
      </c>
      <c r="W24" s="12">
        <v>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B2:I19"/>
  <sheetViews>
    <sheetView workbookViewId="0">
      <selection activeCell="K18" sqref="K18"/>
    </sheetView>
  </sheetViews>
  <sheetFormatPr defaultRowHeight="15" x14ac:dyDescent="0.25"/>
  <cols>
    <col min="2" max="2" width="17.42578125" bestFit="1" customWidth="1"/>
    <col min="3" max="3" width="22.5703125" bestFit="1" customWidth="1"/>
  </cols>
  <sheetData>
    <row r="2" spans="2:9" x14ac:dyDescent="0.25">
      <c r="B2" s="3">
        <v>41983</v>
      </c>
      <c r="C2" s="37">
        <v>41983.447916666664</v>
      </c>
    </row>
    <row r="3" spans="2:9" x14ac:dyDescent="0.25">
      <c r="B3" s="3">
        <f>B2</f>
        <v>41983</v>
      </c>
      <c r="C3" s="37">
        <f>C2</f>
        <v>41983.447916666664</v>
      </c>
    </row>
    <row r="4" spans="2:9" x14ac:dyDescent="0.25">
      <c r="B4" s="38">
        <v>41983</v>
      </c>
      <c r="C4" s="39" t="s">
        <v>265</v>
      </c>
    </row>
    <row r="5" spans="2:9" x14ac:dyDescent="0.25">
      <c r="B5" s="38">
        <f>B4</f>
        <v>41983</v>
      </c>
      <c r="C5" s="39" t="str">
        <f>C4</f>
        <v>12/10/2014  15:00:00 AM</v>
      </c>
    </row>
    <row r="10" spans="2:9" x14ac:dyDescent="0.25">
      <c r="H10" t="s">
        <v>295</v>
      </c>
      <c r="I10">
        <v>60000</v>
      </c>
    </row>
    <row r="19" spans="8:8" x14ac:dyDescent="0.25">
      <c r="H19" t="s">
        <v>296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6</vt:i4>
      </vt:variant>
    </vt:vector>
  </HeadingPairs>
  <TitlesOfParts>
    <vt:vector size="28" baseType="lpstr">
      <vt:lpstr>Formula</vt:lpstr>
      <vt:lpstr>Maximum Value</vt:lpstr>
      <vt:lpstr>Keyword</vt:lpstr>
      <vt:lpstr>Chart</vt:lpstr>
      <vt:lpstr>Hidden Row</vt:lpstr>
      <vt:lpstr>XML Import</vt:lpstr>
      <vt:lpstr>Hidden Column</vt:lpstr>
      <vt:lpstr>Hidden Sheet</vt:lpstr>
      <vt:lpstr>Condition Formatting</vt:lpstr>
      <vt:lpstr>Name Range Item</vt:lpstr>
      <vt:lpstr>Access Queries</vt:lpstr>
      <vt:lpstr>SQL Queries</vt:lpstr>
      <vt:lpstr>From Web</vt:lpstr>
      <vt:lpstr>From Text</vt:lpstr>
      <vt:lpstr>Protect Sheet</vt:lpstr>
      <vt:lpstr>Invisible Cells</vt:lpstr>
      <vt:lpstr>External links</vt:lpstr>
      <vt:lpstr>VAlidated Cells</vt:lpstr>
      <vt:lpstr>Errors</vt:lpstr>
      <vt:lpstr>Test</vt:lpstr>
      <vt:lpstr>Pvot Table</vt:lpstr>
      <vt:lpstr>Date and Time Format</vt:lpstr>
      <vt:lpstr>'From Text'!IP_Fidelity</vt:lpstr>
      <vt:lpstr>NameRange1</vt:lpstr>
      <vt:lpstr>'Name Range Item'!SheetNameRange</vt:lpstr>
      <vt:lpstr>TestAudit</vt:lpstr>
      <vt:lpstr>'From Web'!TodayTaskDetail</vt:lpstr>
      <vt:lpstr>'XML Import'!XL_Dictator</vt:lpstr>
    </vt:vector>
  </TitlesOfParts>
  <Manager>EUC</Manager>
  <Company>CIMCON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Amit Dave</dc:title>
  <dc:subject>Discovery</dc:subject>
  <dc:creator>Dave Amit; darshan</dc:creator>
  <cp:keywords>SQA</cp:keywords>
  <dc:description>Software</dc:description>
  <cp:lastModifiedBy>admin</cp:lastModifiedBy>
  <cp:revision>101</cp:revision>
  <cp:lastPrinted>2016-03-17T09:11:47Z</cp:lastPrinted>
  <dcterms:created xsi:type="dcterms:W3CDTF">2013-11-26T07:15:09Z</dcterms:created>
  <dcterms:modified xsi:type="dcterms:W3CDTF">2016-03-17T09:17:26Z</dcterms:modified>
  <cp:category>SQA; Test</cp:category>
  <cp:contentStatus>Yes</cp:contentStatus>
  <cp:version>5</cp:version>
</cp:coreProperties>
</file>