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\\meet\File Share\External Data\"/>
    </mc:Choice>
  </mc:AlternateContent>
  <xr:revisionPtr revIDLastSave="0" documentId="13_ncr:1_{56FF1479-A51D-42A2-810F-9753D398DB26}" xr6:coauthVersionLast="47" xr6:coauthVersionMax="47" xr10:uidLastSave="{00000000-0000-0000-0000-000000000000}"/>
  <bookViews>
    <workbookView xWindow="-120" yWindow="-120" windowWidth="20640" windowHeight="11160" firstSheet="3" activeTab="7" xr2:uid="{00000000-000D-0000-FFFF-FFFF00000000}"/>
  </bookViews>
  <sheets>
    <sheet name="Data Source" sheetId="1" r:id="rId1"/>
    <sheet name="Sheet1" sheetId="14" r:id="rId2"/>
    <sheet name="Sheet2" sheetId="15" r:id="rId3"/>
    <sheet name="SQLDATA" sheetId="2" r:id="rId4"/>
    <sheet name="STALE LINK" sheetId="3" r:id="rId5"/>
    <sheet name="NONWORKING" sheetId="4" r:id="rId6"/>
    <sheet name="Broken Link" sheetId="5" r:id="rId7"/>
    <sheet name="PIVOT TABLE" sheetId="6" r:id="rId8"/>
    <sheet name="NAMERANGE LINK" sheetId="8" r:id="rId9"/>
    <sheet name="Macro Query Data" sheetId="9" r:id="rId10"/>
    <sheet name="Control File" sheetId="10" r:id="rId11"/>
    <sheet name="Password Protected" sheetId="12" r:id="rId12"/>
    <sheet name="Password Protected Control File" sheetId="11" r:id="rId13"/>
    <sheet name="Link File" sheetId="13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Bound.accdb" localSheetId="0" hidden="1">'Data Source'!$A$4:$C$8</definedName>
    <definedName name="DEPT_MASTER" localSheetId="1" hidden="1">Sheet1!$A$1:$C$2</definedName>
    <definedName name="MEET">'PIVOT TABLE'!$C$8:$E$8</definedName>
    <definedName name="NAMERANG" localSheetId="8">[1]Sheet1!$A$1:$G$17</definedName>
    <definedName name="Range">'Broken Link'!$F$4:$H$7</definedName>
    <definedName name="SQL2008_EI820_PolicyOwner" localSheetId="3" hidden="1">SQLDATA!$A$1:$B$17</definedName>
    <definedName name="UserMaster" localSheetId="2" hidden="1">Sheet2!$A$1:$U$2</definedName>
  </definedNames>
  <calcPr calcId="191029"/>
  <pivotCaches>
    <pivotCache cacheId="9" r:id="rId2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EPT_MASTER_2b6eebf8-582d-446e-9a14-bcac904daa6c" name="DEPT_MASTER" connection="SQL2K14 EUC874 Multiple Tables"/>
          <x15:modelTable id="UserMaster_80562df0-006c-48b9-8f42-eb2c4928ac78" name="UserMaster" connection="SQL2K14 EUC874 Multiple Tabl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1" i="1" l="1"/>
  <c r="H10" i="1" l="1"/>
  <c r="H9" i="1" l="1"/>
  <c r="I9" i="5" l="1"/>
  <c r="E18" i="13" l="1"/>
  <c r="E9" i="13" l="1"/>
  <c r="E7" i="13"/>
  <c r="E5" i="13"/>
  <c r="F10" i="11"/>
  <c r="F13" i="12"/>
  <c r="F10" i="10"/>
  <c r="A1" i="5"/>
  <c r="A1" i="4"/>
  <c r="A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\\amit\Risk File\External Data\Access\Bound.accdb" keepAlive="1" name="Bound" type="5" refreshedVersion="6" background="1" saveData="1">
    <dbPr connection="Provider=Microsoft.ACE.OLEDB.12.0;User ID=Admin;Data Source=\\amit\Risk File\External Data\Access\Bound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ata Table" commandType="3"/>
  </connection>
  <connection id="2" xr16:uid="{00000000-0015-0000-FFFF-FFFF01000000}" keepAlive="1" name="ModelConnection_DEPT_MASTER" description="Data Model" type="5" refreshedVersion="7" minRefreshableVersion="5" saveData="1">
    <dbPr connection="Data Model Connection" command="DEPT_MASTER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UserMaster" description="Data Model" type="5" refreshedVersion="7" minRefreshableVersion="5" saveData="1">
    <dbPr connection="Data Model Connection" command="UserMaster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odcFile="C:\Users\daveamit\Documents\My Data Sources\SQL2008 EI820 PolicyOwner.odc" keepAlive="1" name="SQL2008 EI820 PolicyOwner" type="5" refreshedVersion="6" background="1" saveData="1">
    <dbPr connection="Provider=SQLOLEDB.1;Persist Security Info=True;User ID=sa;Initial Catalog=EI820;Data Source=SQL2008;Use Procedure for Prepare=1;Auto Translate=True;Packet Size=4096;Workstation ID=AMIT;Use Encryption for Data=False;Tag with column collation when possible=False" command="&quot;EI820&quot;.&quot;dbo&quot;.&quot;PolicyOwner&quot;" commandType="3"/>
  </connection>
  <connection id="5" xr16:uid="{00000000-0015-0000-FFFF-FFFF04000000}" name="SQL2K14 EUC874 Multiple Tables" type="100" refreshedVersion="6" minRefreshableVersion="5" saveData="1">
    <extLst>
      <ext xmlns:x15="http://schemas.microsoft.com/office/spreadsheetml/2010/11/main" uri="{DE250136-89BD-433C-8126-D09CA5730AF9}">
        <x15:connection id="31fb2c74-e311-430a-8d8c-2431797c07d2" autoDelete="1"/>
      </ext>
    </extLst>
  </connection>
  <connection id="6" xr16:uid="{00000000-0015-0000-FFFF-FFFF05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<sst xmlns="http://schemas.openxmlformats.org/spreadsheetml/2006/main" count="7" uniqueCount="7">
  <si>
    <t>1AMIT</t>
  </si>
  <si>
    <t>Sum of A</t>
  </si>
  <si>
    <t>Sum of B</t>
  </si>
  <si>
    <t>Sum of C</t>
  </si>
  <si>
    <t>From ATM File</t>
  </si>
  <si>
    <t>child file password - cimcon</t>
  </si>
  <si>
    <t>\\qaserver\D-Drive\QA_TEAM_Data\Amit Data\Risk File\External Data\[Master Qtr 2 Year 2018.xlsm]External Link from same folder'!$A$2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</si>
</sst>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0" fontId="0" fillId="0" borderId="0" xfId="0" applyNumberFormat="1"/>
    <xf numFmtId="0" fontId="0" fillId="3" borderId="0" xfId="0" applyFill="1"/>
    <xf numFmtId="0" fontId="1" fillId="0" borderId="0" xfId="1"/>
    <xf numFmtId="22" fontId="0" fillId="0" borderId="0" xfId="0" applyNumberFormat="1"/>
    <xf numFmtId="14" fontId="0" fillId="0" borderId="0" xfId="0" applyNumberFormat="1"/>
  </cellXfs>
  <cellStyles count="2">
    <cellStyle name="Hyperlink" xfId="1" builtinId="8"/>
    <cellStyle name="Normal" xfId="0" builtinId="0"/>
  </cellStyles>
  <dxfs count="6">
    <dxf>
      <numFmt numFmtId="19" formatCode="m/d/yyyy"/>
    </dxf>
    <dxf>
      <numFmt numFmtId="27" formatCode="m/d/yyyy\ h:mm"/>
    </dxf>
    <dxf>
      <numFmt numFmtId="19" formatCode="m/d/yyyy"/>
    </dxf>
    <dxf>
      <numFmt numFmtId="27" formatCode="m/d/yyyy\ h:mm"/>
    </dxf>
    <dxf>
      <numFmt numFmtId="19" formatCode="m/d/yyyy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externalLink" Target="externalLinks/externalLink12.xml"/><Relationship Id="rId21" Type="http://schemas.openxmlformats.org/officeDocument/2006/relationships/externalLink" Target="externalLinks/externalLink7.xml"/><Relationship Id="rId34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externalLink" Target="externalLinks/externalLink14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externalLink" Target="externalLinks/externalLink13.xml"/><Relationship Id="rId30" Type="http://schemas.openxmlformats.org/officeDocument/2006/relationships/theme" Target="theme/theme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server\D-Drive\QA_TEAM_Data\Amit%20Data\Risk%20File\External%20Data\Account%20Data\Asses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uc874aegon\Upgr_ade%20&amp;%20test\Amit\New%20Chil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uc874aegon\Upgr_ade%20&amp;%20test\Amit\New%20Child%20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uc874aegon\Upgr_ade%20&amp;%20test\Amit\New%20child_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Barter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server\D-Drive\Amit%20Data\Risk%20File\External%20Data\Finance%20Data\Balance%20Shee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nance%20Data/Available%20Credi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nance%20Data/Book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Account%20Data/Password%20Protected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nance%20Data/Controlled%20password%20protected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Account%20Data/Account_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Account%20Data/Account_2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Account%20Data/Account_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server\D-Drive\QA_TEAM_Data\Amit%20Data\Risk%20File\Version%20Detection\Different%20Risk%20Indicator%20in%20Same%20Group\Risk%20Indicator%20%20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1AMIT</v>
          </cell>
        </row>
        <row r="2">
          <cell r="A2">
            <v>12345</v>
          </cell>
        </row>
        <row r="3">
          <cell r="E3" t="str">
            <v>AMIT</v>
          </cell>
        </row>
        <row r="4">
          <cell r="A4">
            <v>0</v>
          </cell>
        </row>
        <row r="7">
          <cell r="A7">
            <v>12</v>
          </cell>
          <cell r="B7">
            <v>1</v>
          </cell>
          <cell r="C7">
            <v>3</v>
          </cell>
        </row>
        <row r="8">
          <cell r="A8">
            <v>45</v>
          </cell>
          <cell r="B8">
            <v>2</v>
          </cell>
          <cell r="C8">
            <v>-1</v>
          </cell>
        </row>
        <row r="9">
          <cell r="A9">
            <v>57</v>
          </cell>
          <cell r="B9">
            <v>3</v>
          </cell>
          <cell r="C9">
            <v>12</v>
          </cell>
        </row>
        <row r="10">
          <cell r="B10">
            <v>4</v>
          </cell>
          <cell r="C10">
            <v>1.25</v>
          </cell>
        </row>
        <row r="11">
          <cell r="B11">
            <v>5</v>
          </cell>
          <cell r="C11" t="e">
            <v>#NAME?</v>
          </cell>
        </row>
        <row r="12">
          <cell r="B12">
            <v>6</v>
          </cell>
          <cell r="C12" t="e">
            <v>#DIV/0!</v>
          </cell>
        </row>
        <row r="13">
          <cell r="B13">
            <v>7</v>
          </cell>
          <cell r="C13">
            <v>72.5</v>
          </cell>
        </row>
        <row r="14">
          <cell r="B14">
            <v>8</v>
          </cell>
        </row>
        <row r="15">
          <cell r="B15">
            <v>9</v>
          </cell>
        </row>
        <row r="16">
          <cell r="B16">
            <v>10</v>
          </cell>
        </row>
        <row r="17">
          <cell r="B17">
            <v>5.5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A3">
            <v>30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A3">
            <v>30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A3">
            <v>30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A4">
            <v>9099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A4" t="str">
            <v>NON WORKING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A4" t="str">
            <v>BROKEN LINK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9">
          <cell r="D9" t="str">
            <v>CONTROLLED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>
        <row r="18">
          <cell r="E18" t="str">
            <v>PASSWORD PROTECTED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CONTROL PASSWORD PROTECTED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7">
          <cell r="A7" t="str">
            <v>Account_1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6">
          <cell r="A6" t="str">
            <v>Account_2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6">
          <cell r="A6" t="str">
            <v>Account_3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9">
          <cell r="C9">
            <v>473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qaserver\D-Drive\QA_TEAM_Data\Amit%20Data\Risk%20File\External%20Data\Finance%20Data\ATM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xzero" refreshedDate="44022.222403935186" createdVersion="5" refreshedVersion="6" minRefreshableVersion="3" recordCount="3" xr:uid="{00000000-000A-0000-FFFF-FFFF00000000}">
  <cacheSource type="worksheet">
    <worksheetSource ref="B6:D9" sheet="Sheet1" r:id="rId2"/>
  </cacheSource>
  <cacheFields count="3">
    <cacheField name="A" numFmtId="0">
      <sharedItems containsSemiMixedTypes="0" containsString="0" containsNumber="1" containsInteger="1" minValue="100" maxValue="6500"/>
    </cacheField>
    <cacheField name="B" numFmtId="0">
      <sharedItems containsSemiMixedTypes="0" containsString="0" containsNumber="1" containsInteger="1" minValue="5454" maxValue="6565"/>
    </cacheField>
    <cacheField name="C" numFmtId="0">
      <sharedItems containsSemiMixedTypes="0" containsString="0" containsNumber="1" containsInteger="1" minValue="5454" maxValue="5465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00"/>
    <n v="6565"/>
    <n v="5454"/>
  </r>
  <r>
    <n v="200"/>
    <n v="5656"/>
    <n v="54545"/>
  </r>
  <r>
    <n v="6500"/>
    <n v="5454"/>
    <n v="5465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C7:E8" firstHeaderRow="0" firstDataRow="1" firstDataCol="0"/>
  <pivotFields count="3">
    <pivotField dataField="1" showAll="0"/>
    <pivotField dataFiel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A" fld="0" baseField="0" baseItem="0"/>
    <dataField name="Sum of B" fld="1" baseField="0" baseItem="0"/>
    <dataField name="Sum of C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und.accdb" connectionId="1" xr16:uid="{00000000-0016-0000-00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Field1" tableColumnId="2"/>
      <queryTableField id="3" name="Field2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EPT_MASTER" backgroundRefresh="0" connectionId="2" xr16:uid="{00000000-0016-0000-01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DEPTID" tableColumnId="1"/>
      <queryTableField id="2" name="DEPTNAME" tableColumnId="2"/>
      <queryTableField id="3" name="DELETESTATUS" tableColumnId="3"/>
    </queryTableFields>
  </queryTableRefresh>
  <extLst>
    <ext xmlns:x15="http://schemas.microsoft.com/office/spreadsheetml/2010/11/main" uri="{883FBD77-0823-4a55-B5E3-86C4891E6966}">
      <x15:queryTable sourceDataName="SQL2K14 EUC874 Multiple Tables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serMaster" backgroundRefresh="0" connectionId="3" xr16:uid="{00000000-0016-0000-0200-000002000000}" autoFormatId="16" applyNumberFormats="0" applyBorderFormats="0" applyFontFormats="0" applyPatternFormats="0" applyAlignmentFormats="0" applyWidthHeightFormats="0">
  <queryTableRefresh nextId="22">
    <queryTableFields count="21">
      <queryTableField id="1" name="UserID" tableColumnId="1"/>
      <queryTableField id="2" name="UserName" tableColumnId="2"/>
      <queryTableField id="3" name="UserPWD" tableColumnId="3"/>
      <queryTableField id="4" name="UserFullName" tableColumnId="4"/>
      <queryTableField id="5" name="UserEMailID" tableColumnId="5"/>
      <queryTableField id="6" name="DomainID" tableColumnId="6"/>
      <queryTableField id="7" name="LastPWDAgingDate" tableColumnId="7"/>
      <queryTableField id="8" name="AccountStatus" tableColumnId="8"/>
      <queryTableField id="9" name="DisableUpToDate" tableColumnId="9"/>
      <queryTableField id="10" name="DisableReason" tableColumnId="10"/>
      <queryTableField id="11" name="LastLoginTime" tableColumnId="11"/>
      <queryTableField id="12" name="LastLogoutTime" tableColumnId="12"/>
      <queryTableField id="13" name="Deleted" tableColumnId="13"/>
      <queryTableField id="14" name="LockoutTime" tableColumnId="14"/>
      <queryTableField id="15" name="CreatedBy" tableColumnId="15"/>
      <queryTableField id="16" name="CreatedOn" tableColumnId="16"/>
      <queryTableField id="17" name="LastModifiedBy" tableColumnId="17"/>
      <queryTableField id="18" name="LastModifiedOn" tableColumnId="18"/>
      <queryTableField id="19" name="MAXFAILUREATTEMPT" tableColumnId="19"/>
      <queryTableField id="20" name="DISABLEPERIODFORFAILURE" tableColumnId="20"/>
      <queryTableField id="21" name="AGINGPERIOD" tableColumnId="21"/>
    </queryTableFields>
  </queryTableRefresh>
  <extLst>
    <ext xmlns:x15="http://schemas.microsoft.com/office/spreadsheetml/2010/11/main" uri="{883FBD77-0823-4a55-B5E3-86C4891E6966}">
      <x15:queryTable sourceDataName="SQL2K14 EUC874 Multiple Tables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08 EI820 PolicyOwner" connectionId="4" xr16:uid="{00000000-0016-0000-0300-000003000000}" autoFormatId="16" applyNumberFormats="0" applyBorderFormats="0" applyFontFormats="0" applyPatternFormats="0" applyAlignmentFormats="0" applyWidthHeightFormats="0">
  <queryTableRefresh nextId="3">
    <queryTableFields count="2">
      <queryTableField id="1" name="PolicyID" tableColumnId="1"/>
      <queryTableField id="2" name="Owner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Bound.accdb" displayName="Table_Bound.accdb" ref="A4:C8" tableType="queryTable" totalsRowShown="0">
  <autoFilter ref="A4:C8" xr:uid="{00000000-0009-0000-0100-000001000000}"/>
  <tableColumns count="3">
    <tableColumn id="1" xr3:uid="{00000000-0010-0000-0000-000001000000}" uniqueName="1" name="Column1" queryTableFieldId="1"/>
    <tableColumn id="2" xr3:uid="{00000000-0010-0000-0000-000002000000}" uniqueName="2" name="Column2" queryTableFieldId="2"/>
    <tableColumn id="3" xr3:uid="{00000000-0010-0000-0000-000003000000}" uniqueName="3" name="Column3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DEPT_MASTER" displayName="Table_DEPT_MASTER" ref="A1:C2" tableType="queryTable" insertRow="1" totalsRowShown="0">
  <autoFilter ref="A1:C2" xr:uid="{00000000-0009-0000-0100-000003000000}"/>
  <tableColumns count="3">
    <tableColumn id="1" xr3:uid="{00000000-0010-0000-0100-000001000000}" uniqueName="1" name="DEPTID" queryTableFieldId="1"/>
    <tableColumn id="2" xr3:uid="{00000000-0010-0000-0100-000002000000}" uniqueName="2" name="DEPTNAME" queryTableFieldId="2"/>
    <tableColumn id="3" xr3:uid="{00000000-0010-0000-0100-000003000000}" uniqueName="3" name="DELETESTATUS" queryTableField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_UserMaster" displayName="Table_UserMaster" ref="A1:U2" tableType="queryTable" insertRow="1" totalsRowShown="0">
  <autoFilter ref="A1:U2" xr:uid="{00000000-0009-0000-0100-000004000000}"/>
  <tableColumns count="21">
    <tableColumn id="1" xr3:uid="{00000000-0010-0000-0200-000001000000}" uniqueName="1" name="UserID" queryTableFieldId="1"/>
    <tableColumn id="2" xr3:uid="{00000000-0010-0000-0200-000002000000}" uniqueName="2" name="UserName" queryTableFieldId="2"/>
    <tableColumn id="3" xr3:uid="{00000000-0010-0000-0200-000003000000}" uniqueName="3" name="UserPWD" queryTableFieldId="3"/>
    <tableColumn id="4" xr3:uid="{00000000-0010-0000-0200-000004000000}" uniqueName="4" name="UserFullName" queryTableFieldId="4"/>
    <tableColumn id="5" xr3:uid="{00000000-0010-0000-0200-000005000000}" uniqueName="5" name="UserEMailID" queryTableFieldId="5"/>
    <tableColumn id="6" xr3:uid="{00000000-0010-0000-0200-000006000000}" uniqueName="6" name="DomainID" queryTableFieldId="6"/>
    <tableColumn id="7" xr3:uid="{00000000-0010-0000-0200-000007000000}" uniqueName="7" name="LastPWDAgingDate" queryTableFieldId="7" dataDxfId="5"/>
    <tableColumn id="8" xr3:uid="{00000000-0010-0000-0200-000008000000}" uniqueName="8" name="AccountStatus" queryTableFieldId="8"/>
    <tableColumn id="9" xr3:uid="{00000000-0010-0000-0200-000009000000}" uniqueName="9" name="DisableUpToDate" queryTableFieldId="9" dataDxfId="4"/>
    <tableColumn id="10" xr3:uid="{00000000-0010-0000-0200-00000A000000}" uniqueName="10" name="DisableReason" queryTableFieldId="10"/>
    <tableColumn id="11" xr3:uid="{00000000-0010-0000-0200-00000B000000}" uniqueName="11" name="LastLoginTime" queryTableFieldId="11" dataDxfId="3"/>
    <tableColumn id="12" xr3:uid="{00000000-0010-0000-0200-00000C000000}" uniqueName="12" name="LastLogoutTime" queryTableFieldId="12" dataDxfId="2"/>
    <tableColumn id="13" xr3:uid="{00000000-0010-0000-0200-00000D000000}" uniqueName="13" name="Deleted" queryTableFieldId="13"/>
    <tableColumn id="14" xr3:uid="{00000000-0010-0000-0200-00000E000000}" uniqueName="14" name="LockoutTime" queryTableFieldId="14"/>
    <tableColumn id="15" xr3:uid="{00000000-0010-0000-0200-00000F000000}" uniqueName="15" name="CreatedBy" queryTableFieldId="15"/>
    <tableColumn id="16" xr3:uid="{00000000-0010-0000-0200-000010000000}" uniqueName="16" name="CreatedOn" queryTableFieldId="16" dataDxfId="1"/>
    <tableColumn id="17" xr3:uid="{00000000-0010-0000-0200-000011000000}" uniqueName="17" name="LastModifiedBy" queryTableFieldId="17"/>
    <tableColumn id="18" xr3:uid="{00000000-0010-0000-0200-000012000000}" uniqueName="18" name="LastModifiedOn" queryTableFieldId="18" dataDxfId="0"/>
    <tableColumn id="19" xr3:uid="{00000000-0010-0000-0200-000013000000}" uniqueName="19" name="MAXFAILUREATTEMPT" queryTableFieldId="19"/>
    <tableColumn id="20" xr3:uid="{00000000-0010-0000-0200-000014000000}" uniqueName="20" name="DISABLEPERIODFORFAILURE" queryTableFieldId="20"/>
    <tableColumn id="21" xr3:uid="{00000000-0010-0000-0200-000015000000}" uniqueName="21" name="AGINGPERIOD" queryTableField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_SQL2008_EI820_PolicyOwner" displayName="Table_SQL2008_EI820_PolicyOwner" ref="A1:B17" tableType="queryTable" totalsRowShown="0">
  <autoFilter ref="A1:B17" xr:uid="{00000000-0009-0000-0100-000002000000}"/>
  <tableColumns count="2">
    <tableColumn id="1" xr3:uid="{00000000-0010-0000-0300-000001000000}" uniqueName="1" name="Column1" queryTableFieldId="1"/>
    <tableColumn id="2" xr3:uid="{00000000-0010-0000-0300-000002000000}" uniqueName="2" name="Column2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file:///\\qaserver\D-Drive\QA_TEAM_Data\Amit%20Data\Risk%20File\External%20Data\%5bMaster%20Qtr%202%20Year%202018.xlsm%5dExternal%20Link%20from%20same%20folder'!$A$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topLeftCell="A2" workbookViewId="0">
      <selection activeCell="A5" sqref="A5:C8"/>
    </sheetView>
  </sheetViews>
  <sheetFormatPr defaultRowHeight="15" x14ac:dyDescent="0.25"/>
  <cols>
    <col min="1" max="1" width="5.140625" customWidth="1"/>
    <col min="2" max="3" width="8.7109375" customWidth="1"/>
  </cols>
  <sheetData>
    <row r="1" spans="1:8" x14ac:dyDescent="0.25">
      <c r="A1" t="s">
        <v>0</v>
      </c>
    </row>
    <row r="4" spans="1:8" x14ac:dyDescent="0.25">
      <c r="A4"/>
      <c r="B4"/>
      <c r="C4"/>
    </row>
    <row r="9" spans="1:8" x14ac:dyDescent="0.25">
      <c r="H9">
        <f>[2]Sheet1!$A$3</f>
        <v>30</v>
      </c>
    </row>
    <row r="10" spans="1:8" x14ac:dyDescent="0.25">
      <c r="H10">
        <f>[3]Sheet1!$A$3</f>
        <v>30</v>
      </c>
    </row>
    <row r="11" spans="1:8" x14ac:dyDescent="0.25">
      <c r="H11">
        <f>[4]Sheet1!$A$3</f>
        <v>30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C1"/>
  <sheetViews>
    <sheetView workbookViewId="0">
      <selection activeCell="A2" sqref="A2:C2"/>
    </sheetView>
  </sheetViews>
  <sheetFormatPr defaultRowHeight="15" x14ac:dyDescent="0.25"/>
  <cols>
    <col min="1" max="1" width="9.5703125" bestFit="1" customWidth="1"/>
    <col min="2" max="2" width="13.28515625" bestFit="1" customWidth="1"/>
    <col min="3" max="3" width="16.28515625" bestFit="1" customWidth="1"/>
  </cols>
  <sheetData>
    <row r="1" spans="1:3" x14ac:dyDescent="0.25">
      <c r="A1"/>
      <c r="B1"/>
      <c r="C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U2"/>
  <sheetViews>
    <sheetView workbookViewId="0">
      <selection sqref="A1:U15"/>
    </sheetView>
  </sheetViews>
  <sheetFormatPr defaultRowHeight="15" x14ac:dyDescent="0.25"/>
  <cols>
    <col min="1" max="1" width="9.28515625" bestFit="1" customWidth="1"/>
    <col min="2" max="2" width="12.7109375" customWidth="1"/>
    <col min="3" max="3" width="11.85546875" customWidth="1"/>
    <col min="4" max="4" width="16.140625" customWidth="1"/>
    <col min="5" max="5" width="14.28515625" customWidth="1"/>
    <col min="6" max="6" width="12" bestFit="1" customWidth="1"/>
    <col min="7" max="7" width="20.5703125" bestFit="1" customWidth="1"/>
    <col min="8" max="8" width="16" bestFit="1" customWidth="1"/>
    <col min="9" max="9" width="18.85546875" bestFit="1" customWidth="1"/>
    <col min="10" max="10" width="16.42578125" bestFit="1" customWidth="1"/>
    <col min="11" max="11" width="16" bestFit="1" customWidth="1"/>
    <col min="12" max="12" width="17.28515625" bestFit="1" customWidth="1"/>
    <col min="13" max="13" width="10.42578125" bestFit="1" customWidth="1"/>
    <col min="14" max="14" width="14.5703125" bestFit="1" customWidth="1"/>
    <col min="15" max="15" width="12.42578125" bestFit="1" customWidth="1"/>
    <col min="16" max="16" width="12.85546875" customWidth="1"/>
    <col min="17" max="17" width="17.28515625" bestFit="1" customWidth="1"/>
    <col min="18" max="18" width="17.7109375" bestFit="1" customWidth="1"/>
    <col min="19" max="19" width="23.42578125" bestFit="1" customWidth="1"/>
    <col min="20" max="20" width="28.42578125" bestFit="1" customWidth="1"/>
    <col min="21" max="21" width="16.140625" bestFit="1" customWidth="1"/>
  </cols>
  <sheetData>
    <row r="1" spans="1:2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x14ac:dyDescent="0.25">
      <c r="G2" s="5"/>
      <c r="I2" s="6"/>
      <c r="K2" s="5"/>
      <c r="L2" s="6"/>
      <c r="P2" s="5"/>
      <c r="R2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"/>
  <sheetViews>
    <sheetView workbookViewId="0">
      <selection activeCell="D5" sqref="D5"/>
    </sheetView>
  </sheetViews>
  <sheetFormatPr defaultRowHeight="15" x14ac:dyDescent="0.25"/>
  <cols>
    <col min="1" max="1" width="10.42578125" bestFit="1" customWidth="1"/>
    <col min="2" max="2" width="15.42578125" bestFit="1" customWidth="1"/>
  </cols>
  <sheetData>
    <row r="1" spans="1:2" x14ac:dyDescent="0.25">
      <c r="A1"/>
      <c r="B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workbookViewId="0"/>
  </sheetViews>
  <sheetFormatPr defaultRowHeight="15" x14ac:dyDescent="0.25"/>
  <sheetData>
    <row r="1" spans="1:1" x14ac:dyDescent="0.25">
      <c r="A1">
        <f>[5]Sheet1!$A$4</f>
        <v>9099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>
      <selection activeCell="I15" sqref="I15"/>
    </sheetView>
  </sheetViews>
  <sheetFormatPr defaultRowHeight="15" x14ac:dyDescent="0.25"/>
  <cols>
    <col min="1" max="1" width="14.7109375" bestFit="1" customWidth="1"/>
  </cols>
  <sheetData>
    <row r="1" spans="1:1" x14ac:dyDescent="0.25">
      <c r="A1" s="1" t="str">
        <f>[6]Sheet1!$A$4</f>
        <v>NON WORKING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9"/>
  <sheetViews>
    <sheetView workbookViewId="0">
      <selection activeCell="I10" sqref="I10"/>
    </sheetView>
  </sheetViews>
  <sheetFormatPr defaultRowHeight="15" x14ac:dyDescent="0.25"/>
  <cols>
    <col min="1" max="1" width="12.7109375" bestFit="1" customWidth="1"/>
  </cols>
  <sheetData>
    <row r="1" spans="1:9" x14ac:dyDescent="0.25">
      <c r="A1" s="1" t="str">
        <f>[7]Sheet1!$A$4</f>
        <v>BROKEN LINK</v>
      </c>
    </row>
    <row r="9" spans="1:9" x14ac:dyDescent="0.25">
      <c r="I9" t="e">
        <f>_xlfn.AGGREGATE(Range,4,5)</f>
        <v>#VALUE!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C7:F15"/>
  <sheetViews>
    <sheetView tabSelected="1" workbookViewId="0">
      <selection activeCell="E11" sqref="E11"/>
    </sheetView>
  </sheetViews>
  <sheetFormatPr defaultRowHeight="15" x14ac:dyDescent="0.25"/>
  <cols>
    <col min="3" max="3" width="8.85546875" customWidth="1"/>
    <col min="4" max="5" width="8.7109375" customWidth="1"/>
    <col min="6" max="6" width="13.85546875" bestFit="1" customWidth="1"/>
  </cols>
  <sheetData>
    <row r="7" spans="3:6" x14ac:dyDescent="0.25">
      <c r="C7" t="s">
        <v>1</v>
      </c>
      <c r="D7" t="s">
        <v>2</v>
      </c>
      <c r="E7" t="s">
        <v>3</v>
      </c>
    </row>
    <row r="8" spans="3:6" x14ac:dyDescent="0.25">
      <c r="C8" s="2">
        <v>6800</v>
      </c>
      <c r="D8" s="2">
        <v>17675</v>
      </c>
      <c r="E8" s="2">
        <v>606545</v>
      </c>
    </row>
    <row r="15" spans="3:6" x14ac:dyDescent="0.25">
      <c r="F15" s="3" t="s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"/>
  <sheetViews>
    <sheetView workbookViewId="0">
      <selection activeCell="B5" sqref="B5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"/>
  <sheetViews>
    <sheetView workbookViewId="0">
      <selection activeCell="G16" sqref="G16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F10"/>
  <sheetViews>
    <sheetView workbookViewId="0">
      <selection activeCell="F10" sqref="F10"/>
    </sheetView>
  </sheetViews>
  <sheetFormatPr defaultRowHeight="15" x14ac:dyDescent="0.25"/>
  <cols>
    <col min="6" max="6" width="12.5703125" bestFit="1" customWidth="1"/>
  </cols>
  <sheetData>
    <row r="10" spans="6:6" x14ac:dyDescent="0.25">
      <c r="F10" s="1" t="str">
        <f>[8]Sheet1!$D$9</f>
        <v>CONTROLLED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F13:F17"/>
  <sheetViews>
    <sheetView workbookViewId="0">
      <selection activeCell="I27" sqref="I27"/>
    </sheetView>
  </sheetViews>
  <sheetFormatPr defaultRowHeight="15" x14ac:dyDescent="0.25"/>
  <cols>
    <col min="6" max="6" width="22.140625" bestFit="1" customWidth="1"/>
  </cols>
  <sheetData>
    <row r="13" spans="6:6" x14ac:dyDescent="0.25">
      <c r="F13" s="1" t="str">
        <f>[9]Sheet2!$E$18</f>
        <v>PASSWORD PROTECTED</v>
      </c>
    </row>
    <row r="17" spans="6:6" x14ac:dyDescent="0.25">
      <c r="F17" t="s">
        <v>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F10"/>
  <sheetViews>
    <sheetView workbookViewId="0">
      <selection activeCell="E6" sqref="E6"/>
    </sheetView>
  </sheetViews>
  <sheetFormatPr defaultRowHeight="15" x14ac:dyDescent="0.25"/>
  <cols>
    <col min="6" max="6" width="31.28515625" bestFit="1" customWidth="1"/>
  </cols>
  <sheetData>
    <row r="10" spans="6:6" x14ac:dyDescent="0.25">
      <c r="F10" s="1" t="str">
        <f>[10]Sheet1!$A$2</f>
        <v>CONTROL PASSWORD PROTECTED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E5:H18"/>
  <sheetViews>
    <sheetView workbookViewId="0">
      <selection activeCell="E16" sqref="E16"/>
    </sheetView>
  </sheetViews>
  <sheetFormatPr defaultRowHeight="15" x14ac:dyDescent="0.25"/>
  <cols>
    <col min="5" max="5" width="12.140625" customWidth="1"/>
  </cols>
  <sheetData>
    <row r="5" spans="5:8" x14ac:dyDescent="0.25">
      <c r="E5" s="1" t="str">
        <f>[11]Sheet1!$A$7</f>
        <v>Account_1</v>
      </c>
    </row>
    <row r="7" spans="5:8" x14ac:dyDescent="0.25">
      <c r="E7" s="1" t="str">
        <f>[12]Sheet1!$A$6</f>
        <v>Account_2</v>
      </c>
    </row>
    <row r="9" spans="5:8" x14ac:dyDescent="0.25">
      <c r="E9" s="1" t="str">
        <f>[13]Sheet1!$A$6</f>
        <v>Account_3</v>
      </c>
    </row>
    <row r="13" spans="5:8" x14ac:dyDescent="0.25">
      <c r="H13" s="4" t="s">
        <v>6</v>
      </c>
    </row>
    <row r="18" spans="5:5" x14ac:dyDescent="0.25">
      <c r="E18">
        <f>[14]Sheet1!$C$9</f>
        <v>473</v>
      </c>
    </row>
  </sheetData>
  <hyperlinks>
    <hyperlink ref="H13" r:id="rId1" xr:uid="{00000000-0004-0000-0D00-000000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489872-5D91-4965-BFB2-B9463AC964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Data Source</vt:lpstr>
      <vt:lpstr>Sheet1</vt:lpstr>
      <vt:lpstr>Sheet2</vt:lpstr>
      <vt:lpstr>SQLDATA</vt:lpstr>
      <vt:lpstr>STALE LINK</vt:lpstr>
      <vt:lpstr>NONWORKING</vt:lpstr>
      <vt:lpstr>Broken Link</vt:lpstr>
      <vt:lpstr>PIVOT TABLE</vt:lpstr>
      <vt:lpstr>NAMERANGE LINK</vt:lpstr>
      <vt:lpstr>Macro Query Data</vt:lpstr>
      <vt:lpstr>Control File</vt:lpstr>
      <vt:lpstr>Password Protected</vt:lpstr>
      <vt:lpstr>Password Protected Control File</vt:lpstr>
      <vt:lpstr>Link File</vt:lpstr>
      <vt:lpstr>MEET</vt:lpstr>
      <vt:lpstr>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meet</cp:lastModifiedBy>
  <dcterms:created xsi:type="dcterms:W3CDTF">2017-03-27T05:15:18Z</dcterms:created>
  <dcterms:modified xsi:type="dcterms:W3CDTF">2022-05-13T12:40:44Z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Zero Client">
    <vt:lpwstr>Yes</vt:lpwstr>
  </property>
  <property fmtid="{D5CDD505-2E9C-101B-9397-08002B2CF9AE}" pid="3" name="Risk ObjectId">
    <vt:lpwstr>43</vt:lpwstr>
  </property>
  <property fmtid="{D5CDD505-2E9C-101B-9397-08002B2CF9AE}" pid="4" name="Certified By">
    <vt:lpwstr>Sumit</vt:lpwstr>
  </property>
  <property fmtid="{D5CDD505-2E9C-101B-9397-08002B2CF9AE}" pid="5" name="Certified On">
    <vt:lpwstr>2/19/2019 3:13:49 AM</vt:lpwstr>
  </property>
  <property fmtid="{D5CDD505-2E9C-101B-9397-08002B2CF9AE}" pid="6" name="TTL Period">
    <vt:lpwstr>3650</vt:lpwstr>
  </property>
  <property fmtid="{D5CDD505-2E9C-101B-9397-08002B2CF9AE}" pid="7" name="Certified From">
    <vt:lpwstr>XLRisk</vt:lpwstr>
  </property>
  <property fmtid="{D5CDD505-2E9C-101B-9397-08002B2CF9AE}" pid="8" name="Lineage Map">
    <vt:lpwstr>5/13/2022 6:06:02 PM</vt:lpwstr>
  </property>
  <property fmtid="{D5CDD505-2E9C-101B-9397-08002B2CF9AE}" pid="9" name="XLA Workbook Analysis">
    <vt:lpwstr>Details + External WB (9/30/2020 10:59:40 PM)</vt:lpwstr>
  </property>
</Properties>
</file>